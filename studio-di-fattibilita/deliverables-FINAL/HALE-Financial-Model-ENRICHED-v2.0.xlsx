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2.xml" ContentType="application/vnd.openxmlformats-officedocument.drawing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0_Cover" sheetId="2" state="visible" r:id="rId2"/>
    <sheet xmlns:r="http://schemas.openxmlformats.org/officeDocument/2006/relationships" name="1_CapEx_Y1" sheetId="3" state="visible" r:id="rId3"/>
    <sheet xmlns:r="http://schemas.openxmlformats.org/officeDocument/2006/relationships" name="2_OpEx_Y2+" sheetId="4" state="visible" r:id="rId4"/>
    <sheet xmlns:r="http://schemas.openxmlformats.org/officeDocument/2006/relationships" name="3_Revenue" sheetId="5" state="visible" r:id="rId5"/>
    <sheet xmlns:r="http://schemas.openxmlformats.org/officeDocument/2006/relationships" name="4_Cash_Flow" sheetId="6" state="visible" r:id="rId6"/>
    <sheet xmlns:r="http://schemas.openxmlformats.org/officeDocument/2006/relationships" name="5_NPV_IRR" sheetId="7" state="visible" r:id="rId7"/>
    <sheet xmlns:r="http://schemas.openxmlformats.org/officeDocument/2006/relationships" name="6_Sensitivity" sheetId="8" state="visible" r:id="rId8"/>
    <sheet xmlns:r="http://schemas.openxmlformats.org/officeDocument/2006/relationships" name="7_Scenarios" sheetId="9" state="visible" r:id="rId9"/>
    <sheet xmlns:r="http://schemas.openxmlformats.org/officeDocument/2006/relationships" name="8_Funding_Mix" sheetId="10" state="visible" r:id="rId10"/>
    <sheet xmlns:r="http://schemas.openxmlformats.org/officeDocument/2006/relationships" name="9_Quadro_Economico_art41" sheetId="11" state="visible" r:id="rId11"/>
    <sheet xmlns:r="http://schemas.openxmlformats.org/officeDocument/2006/relationships" name="Sensitivity" sheetId="12" state="visible" r:id="rId12"/>
    <sheet xmlns:r="http://schemas.openxmlformats.org/officeDocument/2006/relationships" name="Scenarios" sheetId="13" state="visible" r:id="rId13"/>
    <sheet xmlns:r="http://schemas.openxmlformats.org/officeDocument/2006/relationships" name="MonteCarlo_proxy" sheetId="14" state="visible" r:id="rId14"/>
    <sheet xmlns:r="http://schemas.openxmlformats.org/officeDocument/2006/relationships" name="Funding_Mix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€&quot;"/>
    <numFmt numFmtId="165" formatCode="0.0%"/>
  </numFmts>
  <fonts count="1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i val="1"/>
      <color rgb="00996633"/>
      <sz val="9"/>
    </font>
    <font>
      <b val="1"/>
    </font>
    <font>
      <b val="1"/>
      <color rgb="00FFFFFF"/>
      <sz val="14"/>
    </font>
    <font>
      <b val="1"/>
      <color rgb="00FFFFFF"/>
      <sz val="11"/>
    </font>
    <font>
      <b val="1"/>
      <sz val="10"/>
    </font>
    <font>
      <b val="1"/>
      <sz val="11"/>
    </font>
    <font>
      <b val="1"/>
      <color rgb="00CC0000"/>
    </font>
    <font>
      <name val="Calibri"/>
      <b val="1"/>
      <color rgb="000a1a3d"/>
      <sz val="22"/>
    </font>
    <font>
      <name val="Calibri"/>
      <i val="1"/>
      <color rgb="003a3a3a"/>
      <sz val="14"/>
    </font>
    <font>
      <name val="Calibri"/>
      <b val="1"/>
      <color rgb="00ffffff"/>
      <sz val="11"/>
    </font>
    <font>
      <name val="Calibri"/>
      <b val="1"/>
      <color rgb="000a1a3d"/>
      <sz val="11"/>
    </font>
    <font>
      <name val="Calibri"/>
      <color rgb="001a1a1a"/>
      <sz val="10"/>
    </font>
    <font>
      <name val="Calibri"/>
      <b val="1"/>
      <color rgb="000a1a3d"/>
      <sz val="10"/>
    </font>
    <font>
      <name val="Calibri"/>
      <i val="1"/>
      <color rgb="003a3a3a"/>
      <sz val="9"/>
    </font>
  </fonts>
  <fills count="1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E699"/>
      </patternFill>
    </fill>
    <fill>
      <patternFill patternType="solid">
        <fgColor rgb="00FFF2CC"/>
      </patternFill>
    </fill>
    <fill>
      <patternFill patternType="solid">
        <fgColor rgb="00D0E0F0"/>
      </patternFill>
    </fill>
    <fill>
      <patternFill patternType="solid">
        <fgColor rgb="00C6E0B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0a1a3d"/>
        <bgColor rgb="000a1a3d"/>
      </patternFill>
    </fill>
    <fill>
      <patternFill patternType="solid">
        <fgColor rgb="00f4f4f6"/>
        <bgColor rgb="00f4f4f6"/>
      </patternFill>
    </fill>
    <fill>
      <patternFill patternType="solid">
        <fgColor rgb="00ffe0e0"/>
        <bgColor rgb="00ffe0e0"/>
      </patternFill>
    </fill>
    <fill>
      <patternFill patternType="solid">
        <fgColor rgb="00e0f5e0"/>
        <bgColor rgb="00e0f5e0"/>
      </patternFill>
    </fill>
    <fill>
      <patternFill patternType="solid">
        <fgColor rgb="00fdf8e8"/>
        <bgColor rgb="00fdf8e8"/>
      </patternFill>
    </fill>
    <fill>
      <patternFill patternType="solid">
        <fgColor rgb="00f0c95c"/>
        <bgColor rgb="00f0c95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  <bottom style="double"/>
    </border>
    <border>
      <left style="thin">
        <color rgb="00cfcfd4"/>
      </left>
      <right style="thin">
        <color rgb="00cfcfd4"/>
      </right>
      <top style="thin">
        <color rgb="00cfcfd4"/>
      </top>
      <bottom style="thin">
        <color rgb="00cfcfd4"/>
      </bottom>
    </border>
    <border>
      <left style="thin">
        <color rgb="000a1a3d"/>
      </left>
      <right style="thin">
        <color rgb="000a1a3d"/>
      </right>
      <top style="thin">
        <color rgb="000a1a3d"/>
      </top>
      <bottom style="medium">
        <color rgb="00f0c95c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left" vertical="center"/>
    </xf>
    <xf numFmtId="164" fontId="0" fillId="0" borderId="0" pivotButton="0" quotePrefix="0" xfId="0"/>
    <xf numFmtId="0" fontId="8" fillId="3" borderId="2" pivotButton="0" quotePrefix="0" xfId="0"/>
    <xf numFmtId="164" fontId="8" fillId="3" borderId="2" pivotButton="0" quotePrefix="0" xfId="0"/>
    <xf numFmtId="0" fontId="8" fillId="6" borderId="2" pivotButton="0" quotePrefix="0" xfId="0"/>
    <xf numFmtId="164" fontId="8" fillId="6" borderId="2" pivotButton="0" quotePrefix="0" xfId="0"/>
    <xf numFmtId="0" fontId="9" fillId="0" borderId="0" pivotButton="0" quotePrefix="0" xfId="0"/>
    <xf numFmtId="165" fontId="0" fillId="0" borderId="0" pivotButton="0" quotePrefix="0" xfId="0"/>
    <xf numFmtId="165" fontId="8" fillId="3" borderId="2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3" borderId="0" pivotButton="0" quotePrefix="0" xfId="0"/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 wrapText="1"/>
    </xf>
    <xf numFmtId="0" fontId="13" fillId="10" borderId="3" applyAlignment="1" pivotButton="0" quotePrefix="0" xfId="0">
      <alignment horizontal="left" vertical="center" wrapText="1"/>
    </xf>
    <xf numFmtId="0" fontId="14" fillId="0" borderId="3" applyAlignment="1" pivotButton="0" quotePrefix="0" xfId="0">
      <alignment horizontal="left" vertical="center" wrapText="1"/>
    </xf>
    <xf numFmtId="0" fontId="15" fillId="10" borderId="3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center" vertical="center" wrapText="1"/>
    </xf>
    <xf numFmtId="0" fontId="12" fillId="9" borderId="4" applyAlignment="1" pivotButton="0" quotePrefix="0" xfId="0">
      <alignment horizontal="center" vertical="center" wrapText="1"/>
    </xf>
    <xf numFmtId="0" fontId="14" fillId="10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left" vertical="center" wrapText="1"/>
    </xf>
    <xf numFmtId="0" fontId="14" fillId="0" borderId="3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center" wrapText="1"/>
    </xf>
    <xf numFmtId="0" fontId="14" fillId="11" borderId="3" applyAlignment="1" pivotButton="0" quotePrefix="0" xfId="0">
      <alignment horizontal="center" vertical="center" wrapText="1"/>
    </xf>
    <xf numFmtId="0" fontId="14" fillId="12" borderId="3" applyAlignment="1" pivotButton="0" quotePrefix="0" xfId="0">
      <alignment horizontal="center" vertical="center" wrapText="1"/>
    </xf>
    <xf numFmtId="0" fontId="16" fillId="13" borderId="3" applyAlignment="1" pivotButton="0" quotePrefix="0" xfId="0">
      <alignment horizontal="left" vertical="center" wrapText="1"/>
    </xf>
    <xf numFmtId="0" fontId="14" fillId="10" borderId="3" applyAlignment="1" pivotButton="0" quotePrefix="0" xfId="0">
      <alignment horizontal="left" vertical="center" wrapText="1"/>
    </xf>
    <xf numFmtId="0" fontId="13" fillId="14" borderId="3" applyAlignment="1" pivotButton="0" quotePrefix="0" xfId="0">
      <alignment horizontal="left" vertical="center" wrapText="1"/>
    </xf>
    <xf numFmtId="0" fontId="13" fillId="14" borderId="3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NPV 10y distribuzione, Monte Carlo proxy (10.000 sim)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'MonteCarlo_proxy'!$B$20:$B$39</f>
            </numRef>
          </cat>
          <val>
            <numRef>
              <f>'MonteCarlo_proxy'!$C$20:$C$39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NPV bin (€M)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Numero simulazioni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66700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1:J4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1" ht="30" customHeight="1">
      <c r="B11" s="20" t="inlineStr">
        <is>
          <t>Studio di Fattibilita HALE/VTOL</t>
        </is>
      </c>
    </row>
    <row r="12" ht="18" customHeight="1"/>
    <row r="13" ht="22" customHeight="1">
      <c r="B13" s="21" t="inlineStr">
        <is>
          <t>Modello Finanziario Esteso v2.0 + Sensitivity + Monte Carlo proxy</t>
        </is>
      </c>
    </row>
    <row r="14" ht="12" customHeight="1"/>
    <row r="16" ht="22" customHeight="1">
      <c r="B16" s="22" t="inlineStr">
        <is>
          <t>Identificativi fiscali del proponente</t>
        </is>
      </c>
    </row>
    <row r="17" ht="18" customHeight="1">
      <c r="B17" s="23" t="inlineStr">
        <is>
          <t>Denominazione sociale</t>
        </is>
      </c>
      <c r="E17" s="24" t="inlineStr">
        <is>
          <t>FIRMAMENTO TECHNOLOGIES SOCIETA' COOPERATIVA</t>
        </is>
      </c>
    </row>
    <row r="18" ht="18" customHeight="1">
      <c r="B18" s="23" t="inlineStr">
        <is>
          <t>Indirizzo</t>
        </is>
      </c>
      <c r="E18" s="24" t="inlineStr">
        <is>
          <t>Via Brigata Liguria 105 R, 16121 Genova (GE)</t>
        </is>
      </c>
    </row>
    <row r="19" ht="18" customHeight="1">
      <c r="B19" s="23" t="inlineStr">
        <is>
          <t>Partita IVA</t>
        </is>
      </c>
      <c r="E19" s="24" t="inlineStr">
        <is>
          <t>IT03038500991</t>
        </is>
      </c>
    </row>
    <row r="20" ht="18" customHeight="1">
      <c r="B20" s="23" t="inlineStr">
        <is>
          <t>Codice Fiscale</t>
        </is>
      </c>
      <c r="E20" s="24" t="inlineStr">
        <is>
          <t>03038500991</t>
        </is>
      </c>
    </row>
    <row r="21" ht="18" customHeight="1">
      <c r="B21" s="23" t="inlineStr">
        <is>
          <t>REA</t>
        </is>
      </c>
      <c r="E21" s="24" t="inlineStr">
        <is>
          <t>528629</t>
        </is>
      </c>
    </row>
    <row r="22" ht="18" customHeight="1">
      <c r="B22" s="23" t="inlineStr">
        <is>
          <t>PEC</t>
        </is>
      </c>
      <c r="E22" s="24" t="inlineStr">
        <is>
          <t>firmamentotechnologies@pec.it</t>
        </is>
      </c>
    </row>
    <row r="23" ht="18" customHeight="1">
      <c r="B23" s="23" t="inlineStr">
        <is>
          <t>Bando di riferimento</t>
        </is>
      </c>
      <c r="E23" s="24" t="inlineStr">
        <is>
          <t>Coopfond Cooding Prototypes (Legacoop)</t>
        </is>
      </c>
    </row>
    <row r="24" ht="18" customHeight="1">
      <c r="B24" s="23" t="inlineStr">
        <is>
          <t>Versione documento</t>
        </is>
      </c>
      <c r="E24" s="24" t="inlineStr">
        <is>
          <t>Bozza M+11, Maggio 2026</t>
        </is>
      </c>
    </row>
    <row r="25" ht="18" customHeight="1">
      <c r="B25" s="23" t="inlineStr">
        <is>
          <t>Conformita</t>
        </is>
      </c>
      <c r="E25" s="24" t="inlineStr">
        <is>
          <t>D.Lgs. 36/2023 art. 41 + Allegato I.7</t>
        </is>
      </c>
    </row>
    <row r="26" ht="18" customHeight="1">
      <c r="B26" s="23" t="inlineStr">
        <is>
          <t>Metodologia</t>
        </is>
      </c>
      <c r="E26" s="24" t="inlineStr">
        <is>
          <t>NASA SE Handbook Rev 2 + GAO Cost Estimating Guide 2020</t>
        </is>
      </c>
    </row>
    <row r="28" ht="22" customHeight="1">
      <c r="B28" s="22" t="inlineStr">
        <is>
          <t>Contenuto del workbook</t>
        </is>
      </c>
    </row>
    <row r="29" ht="16" customHeight="1">
      <c r="B29" s="25" t="inlineStr">
        <is>
          <t>Cover</t>
        </is>
      </c>
      <c r="E29" s="24" t="inlineStr">
        <is>
          <t>Identificativi + indice</t>
        </is>
      </c>
    </row>
    <row r="30" ht="16" customHeight="1">
      <c r="B30" s="25" t="inlineStr">
        <is>
          <t>Assumptions</t>
        </is>
      </c>
      <c r="E30" s="24" t="inlineStr">
        <is>
          <t>Parametri di input (CapEx, OpEx, Revenue, WACC)</t>
        </is>
      </c>
    </row>
    <row r="31" ht="16" customHeight="1">
      <c r="B31" s="25" t="inlineStr">
        <is>
          <t>CapEx_Y1</t>
        </is>
      </c>
      <c r="E31" s="24" t="inlineStr">
        <is>
          <t>Quadro Economico Y1 Percorso 6A (art. 41 D.Lgs. 36/2023)</t>
        </is>
      </c>
    </row>
    <row r="32" ht="16" customHeight="1">
      <c r="B32" s="25" t="inlineStr">
        <is>
          <t>OpEx_RECONCILED</t>
        </is>
      </c>
      <c r="E32" s="24" t="inlineStr">
        <is>
          <t>OpEx run-rate Y2 €1.18M (baseline + regulatory team)</t>
        </is>
      </c>
    </row>
    <row r="33" ht="16" customHeight="1">
      <c r="B33" s="25" t="inlineStr">
        <is>
          <t>Revenue_RECALIBRATED</t>
        </is>
      </c>
      <c r="E33" s="24" t="inlineStr">
        <is>
          <t>Revenue Y1-Y5 post audit Cluster D</t>
        </is>
      </c>
    </row>
    <row r="34" ht="16" customHeight="1">
      <c r="B34" s="25" t="inlineStr">
        <is>
          <t>CashFlow_10y</t>
        </is>
      </c>
      <c r="E34" s="24" t="inlineStr">
        <is>
          <t>Cash Flow proiezione Y1-Y10 scenario base</t>
        </is>
      </c>
    </row>
    <row r="35" ht="16" customHeight="1">
      <c r="B35" s="25" t="inlineStr">
        <is>
          <t>NPV_IRR</t>
        </is>
      </c>
      <c r="E35" s="24" t="inlineStr">
        <is>
          <t>Calcolo NPV / IRR / Payback / ROI</t>
        </is>
      </c>
    </row>
    <row r="36" ht="16" customHeight="1">
      <c r="B36" s="25" t="inlineStr">
        <is>
          <t>Sensitivity</t>
        </is>
      </c>
      <c r="E36" s="24" t="inlineStr">
        <is>
          <t>Sensitivity analysis su 5 driver primari</t>
        </is>
      </c>
    </row>
    <row r="37" ht="16" customHeight="1">
      <c r="B37" s="25" t="inlineStr">
        <is>
          <t>Scenarios</t>
        </is>
      </c>
      <c r="E37" s="24" t="inlineStr">
        <is>
          <t>Worst / Base / Best scenario comparison</t>
        </is>
      </c>
    </row>
    <row r="38" ht="16" customHeight="1">
      <c r="B38" s="25" t="inlineStr">
        <is>
          <t>MonteCarlo_proxy</t>
        </is>
      </c>
      <c r="E38" s="24" t="inlineStr">
        <is>
          <t>Monte Carlo proxy 10.000 simulazioni (NPV distribution)</t>
        </is>
      </c>
    </row>
    <row r="39" ht="16" customHeight="1">
      <c r="B39" s="25" t="inlineStr">
        <is>
          <t>Funding_Mix</t>
        </is>
      </c>
      <c r="E39" s="24" t="inlineStr">
        <is>
          <t>Mix finanziamento Y1 raccomandato</t>
        </is>
      </c>
    </row>
    <row r="40" ht="16" customHeight="1">
      <c r="B40" s="25" t="inlineStr">
        <is>
          <t>Phase_B_6B</t>
        </is>
      </c>
      <c r="E40" s="24" t="inlineStr">
        <is>
          <t>Phase B 6B HALE R&amp;D budget €5.5-13.5M</t>
        </is>
      </c>
    </row>
    <row r="43" ht="20" customHeight="1">
      <c r="B43" s="26" t="inlineStr">
        <is>
          <t>Modello finanziario per istruttoria Coopfond/Regione Liguria. Confidence aggregato: MEDIUM-LOW (richiede validazione esterna RINA/DNV per investment-grade VC).</t>
        </is>
      </c>
    </row>
  </sheetData>
  <mergeCells count="49">
    <mergeCell ref="E19:J19"/>
    <mergeCell ref="B23:D23"/>
    <mergeCell ref="E40:J40"/>
    <mergeCell ref="B17:D17"/>
    <mergeCell ref="E31:J31"/>
    <mergeCell ref="E34:J34"/>
    <mergeCell ref="B29:D29"/>
    <mergeCell ref="E30:J30"/>
    <mergeCell ref="B38:D38"/>
    <mergeCell ref="B34:D34"/>
    <mergeCell ref="B19:D19"/>
    <mergeCell ref="B37:D37"/>
    <mergeCell ref="B28:J28"/>
    <mergeCell ref="E36:J36"/>
    <mergeCell ref="B40:D40"/>
    <mergeCell ref="B30:D30"/>
    <mergeCell ref="E26:J26"/>
    <mergeCell ref="B24:D24"/>
    <mergeCell ref="B20:D20"/>
    <mergeCell ref="E25:J25"/>
    <mergeCell ref="B33:D33"/>
    <mergeCell ref="B36:D36"/>
    <mergeCell ref="B11:J12"/>
    <mergeCell ref="E32:J32"/>
    <mergeCell ref="E22:J22"/>
    <mergeCell ref="B32:D32"/>
    <mergeCell ref="B35:D35"/>
    <mergeCell ref="E37:J37"/>
    <mergeCell ref="E18:J18"/>
    <mergeCell ref="B26:D26"/>
    <mergeCell ref="B25:D25"/>
    <mergeCell ref="E21:J21"/>
    <mergeCell ref="B13:J14"/>
    <mergeCell ref="B16:J16"/>
    <mergeCell ref="E33:J33"/>
    <mergeCell ref="E24:J24"/>
    <mergeCell ref="B31:D31"/>
    <mergeCell ref="B22:D22"/>
    <mergeCell ref="E17:J17"/>
    <mergeCell ref="E23:J23"/>
    <mergeCell ref="B18:D18"/>
    <mergeCell ref="E39:J39"/>
    <mergeCell ref="B21:D21"/>
    <mergeCell ref="E35:J35"/>
    <mergeCell ref="B43:J43"/>
    <mergeCell ref="B39:D39"/>
    <mergeCell ref="E20:J20"/>
    <mergeCell ref="E38:J38"/>
    <mergeCell ref="E29:J2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1" t="inlineStr">
        <is>
          <t>MODELLO FINANZIARIO HALE/VTOL — FIRMAMENTO TECHNOLOGIES</t>
        </is>
      </c>
    </row>
    <row r="3">
      <c r="A3" t="inlineStr">
        <is>
          <t>Versione:</t>
        </is>
      </c>
      <c r="B3" t="inlineStr">
        <is>
          <t>M+3 bozza (post Audit + DR research)</t>
        </is>
      </c>
    </row>
    <row r="4">
      <c r="A4" t="inlineStr">
        <is>
          <t>Data generazione:</t>
        </is>
      </c>
      <c r="B4" t="inlineStr">
        <is>
          <t>17 maggio 2026</t>
        </is>
      </c>
    </row>
    <row r="5">
      <c r="A5" t="inlineStr">
        <is>
          <t>Conformità:</t>
        </is>
      </c>
      <c r="B5" t="inlineStr">
        <is>
          <t>D.Lgs. 36/2023 art. 41 + Allegato I.7 (PFTE — Piano Economico-Finanziario)</t>
        </is>
      </c>
    </row>
    <row r="6">
      <c r="A6" t="inlineStr">
        <is>
          <t>Riferimenti:</t>
        </is>
      </c>
      <c r="B6" t="inlineStr">
        <is>
          <t>Studio di Fattibilità Cap. 7 + Cap. 8 + DR-014 findings</t>
        </is>
      </c>
    </row>
    <row r="8">
      <c r="A8" s="2" t="inlineStr">
        <is>
          <t>DISCLAIMERS EPISTEMICI</t>
        </is>
      </c>
    </row>
    <row r="9">
      <c r="A9" s="3" t="inlineStr">
        <is>
          <t>1. Confidence aggregato del modello: MEDIUM-LOW (numerose stime non triangolate)</t>
        </is>
      </c>
    </row>
    <row r="10">
      <c r="A10" s="3" t="inlineStr">
        <is>
          <t>2. Pricing PA €75k/anno baseline RICALIBRATO post-Cluster D (vs €150k originale Cap. 7 — vedi DR-004 + audit Cluster D)</t>
        </is>
      </c>
    </row>
    <row r="11">
      <c r="A11" s="3" t="inlineStr">
        <is>
          <t>3. CapEx Y1 €975k-€1.96M include contingency 15% + IVA 22% (base rate aerospace overrun 30-150%)</t>
        </is>
      </c>
    </row>
    <row r="12">
      <c r="A12" s="3" t="inlineStr">
        <is>
          <t>4. Phase B 6B €5.5-13.5M è R&amp;D Phase 0/A ONLY — NON percorso completo a operatività</t>
        </is>
      </c>
    </row>
    <row r="13">
      <c r="A13" s="3" t="inlineStr">
        <is>
          <t>5. (post DR-014: capital intensity HALE solare commerciale benchmark internazionale $50M-1B)</t>
        </is>
      </c>
    </row>
    <row r="14">
      <c r="A14" s="3" t="inlineStr">
        <is>
          <t>6. Scenari worst/base/best con probabilità: worst 25-30%, base 50-60%, best 15-25%</t>
        </is>
      </c>
    </row>
    <row r="15">
      <c r="A15" s="3" t="inlineStr">
        <is>
          <t>7. WACC blended 12% assume mix 40-50% grant + 30-40% equity + 10-20% debt</t>
        </is>
      </c>
    </row>
    <row r="16">
      <c r="A16" s="3" t="inlineStr">
        <is>
          <t>8. Funding mix dipende da bandi 2026 non ancora confermati (DR-002 Coopfond aperto)</t>
        </is>
      </c>
    </row>
    <row r="17">
      <c r="A17" s="3" t="inlineStr">
        <is>
          <t>9. Pre-application ENAC + LoI Regione + workshop cooperative NON ancora completati (DR-004, OQ-010, OQ-011)</t>
        </is>
      </c>
    </row>
    <row r="18">
      <c r="A18" s="3" t="inlineStr">
        <is>
          <t>10. Output investment-grade richiede chiusura DR + LoI firmate + benchmark esterno</t>
        </is>
      </c>
    </row>
    <row r="20">
      <c r="A20" s="4" t="inlineStr">
        <is>
          <t>STRUTTURA DEL WORKBOOK</t>
        </is>
      </c>
    </row>
    <row r="21">
      <c r="A21" s="5" t="inlineStr">
        <is>
          <t>0_Cover</t>
        </is>
      </c>
      <c r="B21" t="inlineStr">
        <is>
          <t>Questo sheet — assumptions + disclaimers</t>
        </is>
      </c>
    </row>
    <row r="22">
      <c r="A22" s="5" t="inlineStr">
        <is>
          <t>1_CapEx_Y1</t>
        </is>
      </c>
      <c r="B22" t="inlineStr">
        <is>
          <t>Quadro Economico Y1 ex art. 41 (A + B + IVA)</t>
        </is>
      </c>
    </row>
    <row r="23">
      <c r="A23" s="5" t="inlineStr">
        <is>
          <t>2_OpEx_Y2+</t>
        </is>
      </c>
      <c r="B23" t="inlineStr">
        <is>
          <t>OpEx run-rate Y2 + evolution Y3-Y5</t>
        </is>
      </c>
    </row>
    <row r="24">
      <c r="A24" s="5" t="inlineStr">
        <is>
          <t>3_Revenue</t>
        </is>
      </c>
      <c r="B24" t="inlineStr">
        <is>
          <t>Revenue Y1-Y5 baseline (RECALIBRATED Cluster D)</t>
        </is>
      </c>
    </row>
    <row r="25">
      <c r="A25" s="5" t="inlineStr">
        <is>
          <t>4_Cash_Flow</t>
        </is>
      </c>
      <c r="B25" t="inlineStr">
        <is>
          <t>Cash flow Y1-Y5 + cumulato</t>
        </is>
      </c>
    </row>
    <row r="26">
      <c r="A26" s="5" t="inlineStr">
        <is>
          <t>5_NPV_IRR</t>
        </is>
      </c>
      <c r="B26" t="inlineStr">
        <is>
          <t>NPV / IRR / Payback / ROI</t>
        </is>
      </c>
    </row>
    <row r="27">
      <c r="A27" s="5" t="inlineStr">
        <is>
          <t>6_Sensitivity</t>
        </is>
      </c>
      <c r="B27" t="inlineStr">
        <is>
          <t>Sensitivity analysis su 7 driver primari</t>
        </is>
      </c>
    </row>
    <row r="28">
      <c r="A28" s="5" t="inlineStr">
        <is>
          <t>7_Scenarios</t>
        </is>
      </c>
      <c r="B28" t="inlineStr">
        <is>
          <t>Worst / Base / Best con probabilità</t>
        </is>
      </c>
    </row>
    <row r="29">
      <c r="A29" s="5" t="inlineStr">
        <is>
          <t>8_Funding_Mix</t>
        </is>
      </c>
      <c r="B29" t="inlineStr">
        <is>
          <t>Mix finanziamenti Y1 + Phase B</t>
        </is>
      </c>
    </row>
    <row r="30">
      <c r="A30" s="5" t="inlineStr">
        <is>
          <t>9_Quadro_Economico_art41</t>
        </is>
      </c>
      <c r="B30" t="inlineStr">
        <is>
          <t>Quadro Economico formato Codice Contratti</t>
        </is>
      </c>
    </row>
  </sheetData>
  <mergeCells count="23">
    <mergeCell ref="A16:F16"/>
    <mergeCell ref="B25:F25"/>
    <mergeCell ref="A18:F18"/>
    <mergeCell ref="A12:F12"/>
    <mergeCell ref="B22:F22"/>
    <mergeCell ref="B27:F27"/>
    <mergeCell ref="B21:F21"/>
    <mergeCell ref="A14:F14"/>
    <mergeCell ref="A8:F8"/>
    <mergeCell ref="A17:F17"/>
    <mergeCell ref="B23:F23"/>
    <mergeCell ref="A20:F20"/>
    <mergeCell ref="B29:F29"/>
    <mergeCell ref="A10:F10"/>
    <mergeCell ref="A13:F13"/>
    <mergeCell ref="B28:F28"/>
    <mergeCell ref="A9:F9"/>
    <mergeCell ref="A15:F15"/>
    <mergeCell ref="B30:F30"/>
    <mergeCell ref="A11:F11"/>
    <mergeCell ref="B24:F24"/>
    <mergeCell ref="A1:F1"/>
    <mergeCell ref="B26:F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8" customWidth="1" min="4" max="4"/>
    <col width="15" customWidth="1" min="5" max="5"/>
  </cols>
  <sheetData>
    <row r="1" ht="25" customHeight="1">
      <c r="A1" s="6" t="inlineStr">
        <is>
          <t>CAPEX Y1 6A — QUADRO ECONOMICO ART. 41 D.LGS. 36/2023</t>
        </is>
      </c>
    </row>
    <row r="3">
      <c r="A3" s="7" t="inlineStr">
        <is>
          <t>Voce</t>
        </is>
      </c>
      <c r="B3" s="7" t="inlineStr">
        <is>
          <t>Valore Baseline (€)</t>
        </is>
      </c>
      <c r="C3" s="7" t="inlineStr">
        <is>
          <t>Range Min (€)</t>
        </is>
      </c>
      <c r="D3" s="7" t="inlineStr">
        <is>
          <t>Range Max (€)</t>
        </is>
      </c>
      <c r="E3" s="7" t="inlineStr">
        <is>
          <t>Confidence</t>
        </is>
      </c>
    </row>
    <row r="4">
      <c r="A4" s="8" t="inlineStr">
        <is>
          <t>A. IMPORTO INVESTIMENTI (Asset + Servizi tecnici)</t>
        </is>
      </c>
    </row>
    <row r="5">
      <c r="A5" t="inlineStr">
        <is>
          <t>A.1 Piattaforma VTOL (JOUAV CW-30E o Tekever AR3)</t>
        </is>
      </c>
      <c r="B5" s="9" t="n">
        <v>350000</v>
      </c>
      <c r="C5" s="9" t="n">
        <v>250000</v>
      </c>
      <c r="D5" s="9" t="n">
        <v>400000</v>
      </c>
      <c r="E5" t="inlineStr">
        <is>
          <t>medium</t>
        </is>
      </c>
    </row>
    <row r="6">
      <c r="A6" t="inlineStr">
        <is>
          <t>A.2 Set ricambi 3 anni</t>
        </is>
      </c>
      <c r="B6" s="9" t="n">
        <v>45000</v>
      </c>
      <c r="C6" s="9" t="n">
        <v>30000</v>
      </c>
      <c r="D6" s="9" t="n">
        <v>60000</v>
      </c>
      <c r="E6" t="inlineStr">
        <is>
          <t>medium</t>
        </is>
      </c>
    </row>
    <row r="7">
      <c r="A7" t="inlineStr">
        <is>
          <t>A.3 Payload EO RGB high-res + gimbal</t>
        </is>
      </c>
      <c r="B7" s="9" t="n">
        <v>55000</v>
      </c>
      <c r="C7" s="9" t="n">
        <v>30000</v>
      </c>
      <c r="D7" s="9" t="n">
        <v>80000</v>
      </c>
      <c r="E7" t="inlineStr">
        <is>
          <t>medium</t>
        </is>
      </c>
    </row>
    <row r="8">
      <c r="A8" t="inlineStr">
        <is>
          <t>A.4 Payload IR LWIR (WIRIS Pro o eq.)</t>
        </is>
      </c>
      <c r="B8" s="9" t="n">
        <v>35000</v>
      </c>
      <c r="C8" s="9" t="n">
        <v>20000</v>
      </c>
      <c r="D8" s="9" t="n">
        <v>50000</v>
      </c>
      <c r="E8" t="inlineStr">
        <is>
          <t>medium</t>
        </is>
      </c>
    </row>
    <row r="9">
      <c r="A9" t="inlineStr">
        <is>
          <t>A.5 Payload telecom backup (LTE eNodeB) [OPT.]</t>
        </is>
      </c>
      <c r="B9" s="9" t="n">
        <v>100000</v>
      </c>
      <c r="C9" s="9" t="n">
        <v>80000</v>
      </c>
      <c r="D9" s="9" t="n">
        <v>150000</v>
      </c>
      <c r="E9" t="inlineStr">
        <is>
          <t>low</t>
        </is>
      </c>
    </row>
    <row r="10">
      <c r="A10" t="inlineStr">
        <is>
          <t>A.6 Ground Station fissa Pentema</t>
        </is>
      </c>
      <c r="B10" s="9" t="n">
        <v>35000</v>
      </c>
      <c r="C10" s="9" t="n">
        <v>20000</v>
      </c>
      <c r="D10" s="9" t="n">
        <v>50000</v>
      </c>
      <c r="E10" t="inlineStr">
        <is>
          <t>medium</t>
        </is>
      </c>
    </row>
    <row r="11">
      <c r="A11" t="inlineStr">
        <is>
          <t>A.7 Ground Station mobile (veicolo + console)</t>
        </is>
      </c>
      <c r="B11" s="9" t="n">
        <v>50000</v>
      </c>
      <c r="C11" s="9" t="n">
        <v>30000</v>
      </c>
      <c r="D11" s="9" t="n">
        <v>70000</v>
      </c>
      <c r="E11" t="inlineStr">
        <is>
          <t>medium</t>
        </is>
      </c>
    </row>
    <row r="12">
      <c r="A12" t="inlineStr">
        <is>
          <t>A.8 Hangar protetto Pentema (affitto/light build)</t>
        </is>
      </c>
      <c r="B12" s="9" t="n">
        <v>70000</v>
      </c>
      <c r="C12" s="9" t="n">
        <v>40000</v>
      </c>
      <c r="D12" s="9" t="n">
        <v>100000</v>
      </c>
      <c r="E12" t="inlineStr">
        <is>
          <t>medium</t>
        </is>
      </c>
    </row>
    <row r="13">
      <c r="A13" t="inlineStr">
        <is>
          <t>A.9 Strumenti diagnostica + spare iniziali</t>
        </is>
      </c>
      <c r="B13" s="9" t="n">
        <v>20000</v>
      </c>
      <c r="C13" s="9" t="n">
        <v>15000</v>
      </c>
      <c r="D13" s="9" t="n">
        <v>30000</v>
      </c>
      <c r="E13" t="inlineStr">
        <is>
          <t>medium</t>
        </is>
      </c>
    </row>
    <row r="14">
      <c r="A14" t="inlineStr">
        <is>
          <t>A.10 Setup SW (mission planning, GIS, pipeline)</t>
        </is>
      </c>
      <c r="B14" s="9" t="n">
        <v>55000</v>
      </c>
      <c r="C14" s="9" t="n">
        <v>30000</v>
      </c>
      <c r="D14" s="9" t="n">
        <v>80000</v>
      </c>
      <c r="E14" t="inlineStr">
        <is>
          <t>medium</t>
        </is>
      </c>
    </row>
    <row r="15">
      <c r="A15" t="inlineStr">
        <is>
          <t>A.11 Certificazioni iniziali (SORA, ENAC)</t>
        </is>
      </c>
      <c r="B15" s="9" t="n">
        <v>35000</v>
      </c>
      <c r="C15" s="9" t="n">
        <v>20000</v>
      </c>
      <c r="D15" s="9" t="n">
        <v>50000</v>
      </c>
      <c r="E15" t="inlineStr">
        <is>
          <t>medium</t>
        </is>
      </c>
    </row>
    <row r="16">
      <c r="A16" t="inlineStr">
        <is>
          <t>A.12 Privacy compliance (DPIA, registri)</t>
        </is>
      </c>
      <c r="B16" s="9" t="n">
        <v>17000</v>
      </c>
      <c r="C16" s="9" t="n">
        <v>10000</v>
      </c>
      <c r="D16" s="9" t="n">
        <v>25000</v>
      </c>
      <c r="E16" t="inlineStr">
        <is>
          <t>medium</t>
        </is>
      </c>
    </row>
    <row r="17">
      <c r="A17" t="inlineStr">
        <is>
          <t>A.13 Formazione team (piloti, op., analyst)</t>
        </is>
      </c>
      <c r="B17" s="9" t="n">
        <v>45000</v>
      </c>
      <c r="C17" s="9" t="n">
        <v>30000</v>
      </c>
      <c r="D17" s="9" t="n">
        <v>60000</v>
      </c>
      <c r="E17" t="inlineStr">
        <is>
          <t>medium</t>
        </is>
      </c>
    </row>
    <row r="18">
      <c r="A18" t="inlineStr">
        <is>
          <t>A.14 Studi preparatori + progettazione</t>
        </is>
      </c>
      <c r="B18" s="9" t="n">
        <v>75000</v>
      </c>
      <c r="C18" s="9" t="n">
        <v>50000</v>
      </c>
      <c r="D18" s="9" t="n">
        <v>100000</v>
      </c>
      <c r="E18" t="inlineStr">
        <is>
          <t>medium</t>
        </is>
      </c>
    </row>
    <row r="19">
      <c r="A19" s="10" t="inlineStr">
        <is>
          <t>TOTALE A</t>
        </is>
      </c>
      <c r="B19" s="11">
        <f>SUM(B5:B18)</f>
        <v/>
      </c>
      <c r="C19" s="11">
        <f>SUM(C5:C18)</f>
        <v/>
      </c>
      <c r="D19" s="11">
        <f>SUM(D5:D18)</f>
        <v/>
      </c>
    </row>
    <row r="21">
      <c r="A21" s="8" t="inlineStr">
        <is>
          <t>B. SOMME A DISPOSIZIONE (ex Codice Contratti)</t>
        </is>
      </c>
    </row>
    <row r="22">
      <c r="A22" t="inlineStr">
        <is>
          <t>B.1 Spese tecniche (4.5% di A)</t>
        </is>
      </c>
      <c r="B22" s="9">
        <f>B19*0.045</f>
        <v/>
      </c>
      <c r="C22" s="9">
        <f>C19*0.045</f>
        <v/>
      </c>
      <c r="D22" s="9">
        <f>D19*0.045</f>
        <v/>
      </c>
      <c r="E22" t="inlineStr">
        <is>
          <t>medium</t>
        </is>
      </c>
    </row>
    <row r="23">
      <c r="A23" t="inlineStr">
        <is>
          <t>B.2 Imprevisti / contingency (15%)</t>
        </is>
      </c>
      <c r="B23" s="9">
        <f>B19*0.15</f>
        <v/>
      </c>
      <c r="C23" s="9">
        <f>C19*0.15</f>
        <v/>
      </c>
      <c r="D23" s="9">
        <f>D19*0.15</f>
        <v/>
      </c>
      <c r="E23" t="inlineStr">
        <is>
          <t>high</t>
        </is>
      </c>
    </row>
    <row r="24">
      <c r="A24" t="inlineStr">
        <is>
          <t>B.3 Spese pubblicità bandi</t>
        </is>
      </c>
      <c r="B24" s="9" t="n">
        <v>3500</v>
      </c>
      <c r="C24" s="9" t="n">
        <v>2000</v>
      </c>
      <c r="D24" s="9" t="n">
        <v>5000</v>
      </c>
      <c r="E24" t="inlineStr">
        <is>
          <t>medium</t>
        </is>
      </c>
    </row>
    <row r="25">
      <c r="A25" t="inlineStr">
        <is>
          <t>B.4 IVA su A (22%)</t>
        </is>
      </c>
      <c r="B25" s="9">
        <f>B19*0.22</f>
        <v/>
      </c>
      <c r="C25" s="9">
        <f>C19*0.22</f>
        <v/>
      </c>
      <c r="D25" s="9">
        <f>D19*0.22</f>
        <v/>
      </c>
      <c r="E25" t="inlineStr">
        <is>
          <t>high</t>
        </is>
      </c>
    </row>
    <row r="26">
      <c r="A26" t="inlineStr">
        <is>
          <t>B.5 IVA su B (22%, esclusa IVA stessa)</t>
        </is>
      </c>
      <c r="B26" s="9">
        <f>SUM(B22:B24)*0.22</f>
        <v/>
      </c>
      <c r="C26" s="9">
        <f>SUM(C22:C24)*0.22</f>
        <v/>
      </c>
      <c r="D26" s="9">
        <f>SUM(D22:D24)*0.22</f>
        <v/>
      </c>
      <c r="E26" t="inlineStr">
        <is>
          <t>high</t>
        </is>
      </c>
    </row>
    <row r="27">
      <c r="A27" t="inlineStr">
        <is>
          <t>B.6 Allacciamenti, autorizzazioni</t>
        </is>
      </c>
      <c r="B27" s="9" t="n">
        <v>10000</v>
      </c>
      <c r="C27" s="9" t="n">
        <v>5000</v>
      </c>
      <c r="D27" s="9" t="n">
        <v>15000</v>
      </c>
      <c r="E27" t="inlineStr">
        <is>
          <t>medium</t>
        </is>
      </c>
    </row>
    <row r="28">
      <c r="A28" t="inlineStr">
        <is>
          <t>B.7 Spese collaudo / verifica</t>
        </is>
      </c>
      <c r="B28" s="9" t="n">
        <v>17500</v>
      </c>
      <c r="C28" s="9" t="n">
        <v>10000</v>
      </c>
      <c r="D28" s="9" t="n">
        <v>25000</v>
      </c>
      <c r="E28" t="inlineStr">
        <is>
          <t>medium</t>
        </is>
      </c>
    </row>
    <row r="29">
      <c r="A29" s="10" t="inlineStr">
        <is>
          <t>TOTALE B</t>
        </is>
      </c>
      <c r="B29" s="11">
        <f>SUM(B22:B28)</f>
        <v/>
      </c>
      <c r="C29" s="11">
        <f>SUM(C22:C28)</f>
        <v/>
      </c>
      <c r="D29" s="11">
        <f>SUM(D22:D28)</f>
        <v/>
      </c>
    </row>
    <row r="31">
      <c r="A31" s="12" t="inlineStr">
        <is>
          <t>TOTALE GENERALE Y1 (A+B)</t>
        </is>
      </c>
      <c r="B31" s="13">
        <f>B19+B29</f>
        <v/>
      </c>
      <c r="C31" s="13">
        <f>C19+C29</f>
        <v/>
      </c>
      <c r="D31" s="13">
        <f>D19+D29</f>
        <v/>
      </c>
      <c r="E31" t="inlineStr">
        <is>
          <t>MEDIUM-LOW</t>
        </is>
      </c>
    </row>
    <row r="33">
      <c r="A33" s="14" t="inlineStr">
        <is>
          <t>⚠️ CAVEAT POST AUDIT/DR (M+3):</t>
        </is>
      </c>
    </row>
    <row r="34">
      <c r="A34" s="3" t="inlineStr">
        <is>
          <t>• Base rate aerospace cost overrun: 30-150% (GAO-20-195G). Contingency 15% baseline → 30% raccomandato.</t>
        </is>
      </c>
    </row>
    <row r="35">
      <c r="A35" s="3" t="inlineStr">
        <is>
          <t>• Pricing baseline €150k/anno PA → falsificato da Cluster D (€30-80k tipici, vedi Cap. 7 §7.4.4-5).</t>
        </is>
      </c>
    </row>
    <row r="36">
      <c r="A36" s="3" t="inlineStr">
        <is>
          <t>• Phase B 6B €5.5-13.5M = R&amp;D Phase 0/A only (DR-014: benchmark $50M-1B per operativa commerciale).</t>
        </is>
      </c>
    </row>
    <row r="37">
      <c r="A37" s="3" t="inlineStr">
        <is>
          <t>• +3 FTE regulatory (Cap. 5 §5.17) aggiunge +€450-800k OpEx Y1 NON in CapEx ma in operating cost.</t>
        </is>
      </c>
    </row>
    <row r="38">
      <c r="A38" s="3" t="inlineStr">
        <is>
          <t>• CapEx Y1 reale atteso scenario base sliding: €2.5-3.5M (vs €0.7-2M nominale, vedi Cap. 9 §9.12 + Cap. 10 §10.0bis).</t>
        </is>
      </c>
    </row>
  </sheetData>
  <mergeCells count="8">
    <mergeCell ref="A21:E21"/>
    <mergeCell ref="A34:E34"/>
    <mergeCell ref="A35:E35"/>
    <mergeCell ref="A4:E4"/>
    <mergeCell ref="A38:E38"/>
    <mergeCell ref="A1:E1"/>
    <mergeCell ref="A37:E37"/>
    <mergeCell ref="A36:E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2" customWidth="1" min="6" max="6"/>
  </cols>
  <sheetData>
    <row r="1" ht="25" customHeight="1">
      <c r="A1" s="6" t="inlineStr">
        <is>
          <t>OPEX RUN-RATE Y2-Y5 — PERCORSO 6A</t>
        </is>
      </c>
    </row>
    <row r="3">
      <c r="A3" s="7" t="inlineStr">
        <is>
          <t>Voce</t>
        </is>
      </c>
      <c r="B3" s="7" t="inlineStr">
        <is>
          <t>Y2 (€/anno)</t>
        </is>
      </c>
      <c r="C3" s="7" t="inlineStr">
        <is>
          <t>Y3 (€/anno)</t>
        </is>
      </c>
      <c r="D3" s="7" t="inlineStr">
        <is>
          <t>Y4 (€/anno)</t>
        </is>
      </c>
      <c r="E3" s="7" t="inlineStr">
        <is>
          <t>Y5 (€/anno)</t>
        </is>
      </c>
      <c r="F3" s="7" t="inlineStr">
        <is>
          <t>Confidence</t>
        </is>
      </c>
    </row>
    <row r="4">
      <c r="A4" t="inlineStr">
        <is>
          <t>Personnel (3 FTE: pilota+ing+analyst + 0.5 PM)</t>
        </is>
      </c>
      <c r="B4" s="9" t="n">
        <v>185000</v>
      </c>
      <c r="C4" s="9">
        <f>B4*1.2</f>
        <v/>
      </c>
      <c r="D4" s="9">
        <f>C4*1.2</f>
        <v/>
      </c>
      <c r="E4" s="9">
        <f>D4*1.2</f>
        <v/>
      </c>
      <c r="F4" t="inlineStr">
        <is>
          <t>medium</t>
        </is>
      </c>
    </row>
    <row r="5">
      <c r="A5" t="inlineStr">
        <is>
          <t>Personnel REGULATORY (3 FTE post Cap.5 §5.17)</t>
        </is>
      </c>
      <c r="B5" s="9" t="n">
        <v>600000</v>
      </c>
      <c r="C5" s="9">
        <f>B5*1.1</f>
        <v/>
      </c>
      <c r="D5" s="9">
        <f>C5*1.1</f>
        <v/>
      </c>
      <c r="E5" s="9">
        <f>D5*1.1</f>
        <v/>
      </c>
      <c r="F5" t="inlineStr">
        <is>
          <t>high</t>
        </is>
      </c>
    </row>
    <row r="6">
      <c r="A6" t="inlineStr">
        <is>
          <t>Manutenzione piattaforma (5-8% CapEx)</t>
        </is>
      </c>
      <c r="B6" s="9" t="n">
        <v>45000</v>
      </c>
      <c r="C6" s="9">
        <f>B6*1.25</f>
        <v/>
      </c>
      <c r="D6" s="9">
        <f>C6*1.25</f>
        <v/>
      </c>
      <c r="E6" s="9">
        <f>D6*1.25</f>
        <v/>
      </c>
      <c r="F6" t="inlineStr">
        <is>
          <t>medium</t>
        </is>
      </c>
    </row>
    <row r="7">
      <c r="A7" t="inlineStr">
        <is>
          <t>Assicurazione UAS BVLOS (RC + casco)</t>
        </is>
      </c>
      <c r="B7" s="9" t="n">
        <v>28000</v>
      </c>
      <c r="C7" s="9">
        <f>B7*1.1</f>
        <v/>
      </c>
      <c r="D7" s="9">
        <f>C7*1.1</f>
        <v/>
      </c>
      <c r="E7" s="9">
        <f>D7*1.1</f>
        <v/>
      </c>
      <c r="F7" t="inlineStr">
        <is>
          <t>medium</t>
        </is>
      </c>
    </row>
    <row r="8">
      <c r="A8" t="inlineStr">
        <is>
          <t>Carburante / energia</t>
        </is>
      </c>
      <c r="B8" s="9" t="n">
        <v>10000</v>
      </c>
      <c r="C8" s="9">
        <f>B8*1.3</f>
        <v/>
      </c>
      <c r="D8" s="9">
        <f>C8*1.3</f>
        <v/>
      </c>
      <c r="E8" s="9">
        <f>D8*1.3</f>
        <v/>
      </c>
      <c r="F8" t="inlineStr">
        <is>
          <t>medium</t>
        </is>
      </c>
    </row>
    <row r="9">
      <c r="A9" t="inlineStr">
        <is>
          <t>Software canoni (GIS, processing, cloud)</t>
        </is>
      </c>
      <c r="B9" s="9" t="n">
        <v>17000</v>
      </c>
      <c r="C9" s="9">
        <f>B9*1.2</f>
        <v/>
      </c>
      <c r="D9" s="9">
        <f>C9*1.2</f>
        <v/>
      </c>
      <c r="E9" s="9">
        <f>D9*1.2</f>
        <v/>
      </c>
      <c r="F9" t="inlineStr">
        <is>
          <t>medium</t>
        </is>
      </c>
    </row>
    <row r="10">
      <c r="A10" t="inlineStr">
        <is>
          <t>Connettività dati (SATCOM + cloud)</t>
        </is>
      </c>
      <c r="B10" s="9" t="n">
        <v>10000</v>
      </c>
      <c r="C10" s="9">
        <f>B10*1.25</f>
        <v/>
      </c>
      <c r="D10" s="9">
        <f>C10*1.25</f>
        <v/>
      </c>
      <c r="E10" s="9">
        <f>D10*1.25</f>
        <v/>
      </c>
      <c r="F10" t="inlineStr">
        <is>
          <t>medium</t>
        </is>
      </c>
    </row>
    <row r="11">
      <c r="A11" t="inlineStr">
        <is>
          <t>Costi sede / utility Pentema</t>
        </is>
      </c>
      <c r="B11" s="9" t="n">
        <v>22000</v>
      </c>
      <c r="C11" s="9">
        <f>B11*1.05</f>
        <v/>
      </c>
      <c r="D11" s="9">
        <f>C11*1.05</f>
        <v/>
      </c>
      <c r="E11" s="9">
        <f>D11*1.05</f>
        <v/>
      </c>
      <c r="F11" t="inlineStr">
        <is>
          <t>medium</t>
        </is>
      </c>
    </row>
    <row r="12">
      <c r="A12" t="inlineStr">
        <is>
          <t>Marketing + comm + partnership</t>
        </is>
      </c>
      <c r="B12" s="9" t="n">
        <v>35000</v>
      </c>
      <c r="C12" s="9">
        <f>B12*1.2</f>
        <v/>
      </c>
      <c r="D12" s="9">
        <f>C12*1.2</f>
        <v/>
      </c>
      <c r="E12" s="9">
        <f>D12*1.2</f>
        <v/>
      </c>
      <c r="F12" t="inlineStr">
        <is>
          <t>medium</t>
        </is>
      </c>
    </row>
    <row r="13">
      <c r="A13" t="inlineStr">
        <is>
          <t>Spese legali / regolatorie / privacy</t>
        </is>
      </c>
      <c r="B13" s="9" t="n">
        <v>17000</v>
      </c>
      <c r="C13" s="9">
        <f>B13*1.1</f>
        <v/>
      </c>
      <c r="D13" s="9">
        <f>C13*1.1</f>
        <v/>
      </c>
      <c r="E13" s="9">
        <f>D13*1.1</f>
        <v/>
      </c>
      <c r="F13" t="inlineStr">
        <is>
          <t>medium</t>
        </is>
      </c>
    </row>
    <row r="14">
      <c r="A14" s="10" t="inlineStr">
        <is>
          <t>TOTALE OPEX</t>
        </is>
      </c>
      <c r="B14" s="11">
        <f>SUM(B4:B13)</f>
        <v/>
      </c>
      <c r="C14" s="11">
        <f>SUM(C4:C13)</f>
        <v/>
      </c>
      <c r="D14" s="11">
        <f>SUM(D4:D13)</f>
        <v/>
      </c>
      <c r="E14" s="11">
        <f>SUM(E4:E13)</f>
        <v/>
      </c>
    </row>
    <row r="16">
      <c r="A16" s="3" t="inlineStr">
        <is>
          <t>⚠️ OpEx senza Personnel Regulatory (scenario MVP minimale, NON raccomandato post Cap.5 §5.17):</t>
        </is>
      </c>
    </row>
    <row r="17">
      <c r="A17" t="inlineStr">
        <is>
          <t>Totale OpEx MVP minimale Y2</t>
        </is>
      </c>
      <c r="B17" s="9">
        <f>SUM(B4:B14)-B5</f>
        <v/>
      </c>
    </row>
    <row r="19">
      <c r="A19" s="5" t="inlineStr">
        <is>
          <t>📊 EVOLUZIONE OPEX TARGET (post scale-up):</t>
        </is>
      </c>
    </row>
    <row r="20">
      <c r="A20" t="inlineStr">
        <is>
          <t>Y2 (Liguria consolidato)</t>
        </is>
      </c>
      <c r="B20" s="9" t="n">
        <v>1180000</v>
      </c>
      <c r="C20" t="inlineStr">
        <is>
          <t>Run-rate baseline + regulatory team</t>
        </is>
      </c>
    </row>
    <row r="21">
      <c r="A21" t="inlineStr">
        <is>
          <t>Y3 (multi-regione, flotta 3-5)</t>
        </is>
      </c>
      <c r="B21" s="9" t="n">
        <v>1700000</v>
      </c>
      <c r="C21" t="inlineStr">
        <is>
          <t>+2-3 FTE + 2 GS mobile + 30% manutenzione</t>
        </is>
      </c>
    </row>
    <row r="22">
      <c r="A22" t="inlineStr">
        <is>
          <t>Y4 (+ HALE subscale ops)</t>
        </is>
      </c>
      <c r="B22" s="9" t="n">
        <v>2350000</v>
      </c>
      <c r="C22" t="inlineStr">
        <is>
          <t>+Phase B 6B run-rate</t>
        </is>
      </c>
    </row>
    <row r="23">
      <c r="A23" t="inlineStr">
        <is>
          <t>Y5 (consolidamento)</t>
        </is>
      </c>
      <c r="B23" s="9" t="n">
        <v>2900000</v>
      </c>
      <c r="C23" t="inlineStr">
        <is>
          <t>+Mantenimento espansione</t>
        </is>
      </c>
    </row>
  </sheetData>
  <mergeCells count="7">
    <mergeCell ref="C22:F22"/>
    <mergeCell ref="A16:F16"/>
    <mergeCell ref="C23:F23"/>
    <mergeCell ref="A19:F19"/>
    <mergeCell ref="A1:F1"/>
    <mergeCell ref="C20:F20"/>
    <mergeCell ref="C21:F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5" customHeight="1">
      <c r="A1" s="6" t="inlineStr">
        <is>
          <t>REVENUE Y1-Y5 — PERCORSO 6A (RECALIBRATED post Cluster D Cap.7 §7.4.4-5)</t>
        </is>
      </c>
    </row>
    <row r="3">
      <c r="A3" s="7" t="inlineStr">
        <is>
          <t>Linea di servizio</t>
        </is>
      </c>
      <c r="B3" s="7" t="inlineStr">
        <is>
          <t>Cliente</t>
        </is>
      </c>
      <c r="C3" s="7" t="inlineStr">
        <is>
          <t>Y1 (€)</t>
        </is>
      </c>
      <c r="D3" s="7" t="inlineStr">
        <is>
          <t>Y2 (€)</t>
        </is>
      </c>
      <c r="E3" s="7" t="inlineStr">
        <is>
          <t>Y3 (€)</t>
        </is>
      </c>
      <c r="F3" s="7" t="inlineStr">
        <is>
          <t>Y4 (€)</t>
        </is>
      </c>
      <c r="G3" s="7" t="inlineStr">
        <is>
          <t>Y5 (€)</t>
        </is>
      </c>
    </row>
    <row r="4">
      <c r="A4" t="inlineStr">
        <is>
          <t>Monitoraggio frane settimanale</t>
        </is>
      </c>
      <c r="B4" t="inlineStr">
        <is>
          <t>Regione Liguria</t>
        </is>
      </c>
      <c r="C4" s="9" t="n">
        <v>75000</v>
      </c>
      <c r="D4" s="9">
        <f>C4*1.8</f>
        <v/>
      </c>
      <c r="E4" s="9">
        <f>D4*2.2</f>
        <v/>
      </c>
      <c r="F4" s="9">
        <f>E4*1.5</f>
        <v/>
      </c>
      <c r="G4" s="9">
        <f>F4*1.4</f>
        <v/>
      </c>
    </row>
    <row r="5">
      <c r="A5" t="inlineStr">
        <is>
          <t>Antincendio boschivo stagionale</t>
        </is>
      </c>
      <c r="B5" t="inlineStr">
        <is>
          <t>PC + Enti Parco</t>
        </is>
      </c>
      <c r="C5" s="9" t="n">
        <v>60000</v>
      </c>
      <c r="D5" s="9">
        <f>C5*1.5</f>
        <v/>
      </c>
      <c r="E5" s="9">
        <f>D5*2.0</f>
        <v/>
      </c>
      <c r="F5" s="9">
        <f>E5*1.4</f>
        <v/>
      </c>
      <c r="G5" s="9">
        <f>F5*1.3</f>
        <v/>
      </c>
    </row>
    <row r="6">
      <c r="A6" t="inlineStr">
        <is>
          <t>Backup connettività emergenza</t>
        </is>
      </c>
      <c r="B6" t="inlineStr">
        <is>
          <t>PC + Comune</t>
        </is>
      </c>
      <c r="C6" s="9" t="n">
        <v>50000</v>
      </c>
      <c r="D6" s="9">
        <f>C6*1.5</f>
        <v/>
      </c>
      <c r="E6" s="9">
        <f>D6*1.8</f>
        <v/>
      </c>
      <c r="F6" s="9">
        <f>E6*1.4</f>
        <v/>
      </c>
      <c r="G6" s="9">
        <f>F6*1.3</f>
        <v/>
      </c>
    </row>
    <row r="7">
      <c r="A7" t="inlineStr">
        <is>
          <t>Mapping agricolo DaaS</t>
        </is>
      </c>
      <c r="B7" t="inlineStr">
        <is>
          <t>3 cooperative agric</t>
        </is>
      </c>
      <c r="C7" s="9" t="n">
        <v>30000</v>
      </c>
      <c r="D7" s="9">
        <f>C7*1.8</f>
        <v/>
      </c>
      <c r="E7" s="9">
        <f>D7*2.0</f>
        <v/>
      </c>
      <c r="F7" s="9">
        <f>E7*1.5</f>
        <v/>
      </c>
      <c r="G7" s="9">
        <f>F7*1.4</f>
        <v/>
      </c>
    </row>
    <row r="8">
      <c r="A8" t="inlineStr">
        <is>
          <t>Mapping infrastrutture stradali</t>
        </is>
      </c>
      <c r="B8" t="inlineStr">
        <is>
          <t>3 Comuni SNAI</t>
        </is>
      </c>
      <c r="C8" s="9" t="n">
        <v>45000</v>
      </c>
      <c r="D8" s="9">
        <f>C8*1.7</f>
        <v/>
      </c>
      <c r="E8" s="9">
        <f>D8*2.2</f>
        <v/>
      </c>
      <c r="F8" s="9">
        <f>E8*1.5</f>
        <v/>
      </c>
      <c r="G8" s="9">
        <f>F8*1.4</f>
        <v/>
      </c>
    </row>
    <row r="9">
      <c r="A9" t="inlineStr">
        <is>
          <t>[Y3+] Servizi multi-regione SNAI</t>
        </is>
      </c>
      <c r="B9" t="inlineStr">
        <is>
          <t>Regioni Piemonte/Calabria</t>
        </is>
      </c>
      <c r="C9" s="9" t="n">
        <v>0</v>
      </c>
      <c r="D9" s="9">
        <f>C9*1</f>
        <v/>
      </c>
      <c r="E9" s="9">
        <f>D9*3.5</f>
        <v/>
      </c>
      <c r="F9" s="9">
        <f>E9*1.6</f>
        <v/>
      </c>
      <c r="G9" s="9">
        <f>F9*1.4</f>
        <v/>
      </c>
    </row>
    <row r="10">
      <c r="A10" t="inlineStr">
        <is>
          <t>[Y4+] Utility ispezione infrastrutture</t>
        </is>
      </c>
      <c r="B10" t="inlineStr">
        <is>
          <t>Enel/Snam/RFI pilota</t>
        </is>
      </c>
      <c r="C10" s="9" t="n">
        <v>0</v>
      </c>
      <c r="D10" s="9">
        <f>C10*1</f>
        <v/>
      </c>
      <c r="E10" s="9">
        <f>D10*1</f>
        <v/>
      </c>
      <c r="F10" s="9">
        <f>E10*2.5</f>
        <v/>
      </c>
      <c r="G10" s="9">
        <f>F10*1.5</f>
        <v/>
      </c>
    </row>
    <row r="11">
      <c r="A11" t="inlineStr">
        <is>
          <t>[Y5+] HAPS subscale services [opt]</t>
        </is>
      </c>
      <c r="B11" t="inlineStr">
        <is>
          <t>PA early adopters</t>
        </is>
      </c>
      <c r="C11" s="9" t="n">
        <v>0</v>
      </c>
      <c r="D11" s="9">
        <f>C11*1</f>
        <v/>
      </c>
      <c r="E11" s="9">
        <f>D11*1</f>
        <v/>
      </c>
      <c r="F11" s="9">
        <f>E11*1.3</f>
        <v/>
      </c>
      <c r="G11" s="9">
        <f>F11*2.5</f>
        <v/>
      </c>
    </row>
    <row r="12">
      <c r="A12" s="10" t="inlineStr">
        <is>
          <t>TOTALE REVENUE</t>
        </is>
      </c>
      <c r="C12" s="11">
        <f>SUM(C4:C11)</f>
        <v/>
      </c>
      <c r="D12" s="11">
        <f>SUM(D4:D11)</f>
        <v/>
      </c>
      <c r="E12" s="11">
        <f>SUM(E4:E11)</f>
        <v/>
      </c>
      <c r="F12" s="11">
        <f>SUM(F4:F11)</f>
        <v/>
      </c>
      <c r="G12" s="11">
        <f>SUM(G4:G11)</f>
        <v/>
      </c>
    </row>
    <row r="14">
      <c r="A14" s="14" t="inlineStr">
        <is>
          <t>⚠️ PRICING RECALIBRATED post Cluster D:</t>
        </is>
      </c>
    </row>
    <row r="15">
      <c r="A15" s="3" t="inlineStr">
        <is>
          <t>• Pricing €75k/anno per Regione Liguria EO = €150k Cap.7 §7.8.2 baseline ORIGINALE / 2 (per riflettere Cluster D €30-80k/anno realistico)</t>
        </is>
      </c>
    </row>
    <row r="16">
      <c r="A16" s="3" t="inlineStr">
        <is>
          <t>• Revenue Y1 baseline RECALIBRATED ≈ €260k (vs €355-405k originale)</t>
        </is>
      </c>
    </row>
    <row r="17">
      <c r="A17" s="3" t="inlineStr">
        <is>
          <t>• Scenario worst Cluster D (€30k/anno per cliente): revenue Y1 ≈ €150k = SyR-Cost-003 minimo €200k FALSIFICATO</t>
        </is>
      </c>
    </row>
    <row r="18">
      <c r="A18" s="3" t="inlineStr">
        <is>
          <t>• Scenario best (partnership Planetek/e-GEOS + premium): revenue Y1 ≈ €350-450k</t>
        </is>
      </c>
    </row>
    <row r="19">
      <c r="A19" s="3" t="inlineStr">
        <is>
          <t>• Confidence: medium-low (richiede LoI/contratti reali per validation, DR-002 + DR-004)</t>
        </is>
      </c>
    </row>
  </sheetData>
  <mergeCells count="7">
    <mergeCell ref="A14:G14"/>
    <mergeCell ref="A1:G1"/>
    <mergeCell ref="A17:G17"/>
    <mergeCell ref="A18:G18"/>
    <mergeCell ref="A16:G16"/>
    <mergeCell ref="A15:G15"/>
    <mergeCell ref="A19:G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 ht="25" customHeight="1">
      <c r="A1" s="6" t="inlineStr">
        <is>
          <t>CASH FLOW Y1-Y5 — SCENARIO BASE</t>
        </is>
      </c>
    </row>
    <row r="3">
      <c r="A3" s="7" t="inlineStr"/>
      <c r="B3" s="7" t="inlineStr">
        <is>
          <t>Y1</t>
        </is>
      </c>
      <c r="C3" s="7" t="inlineStr">
        <is>
          <t>Y2</t>
        </is>
      </c>
      <c r="D3" s="7" t="inlineStr">
        <is>
          <t>Y3</t>
        </is>
      </c>
      <c r="E3" s="7" t="inlineStr">
        <is>
          <t>Y4</t>
        </is>
      </c>
      <c r="F3" s="7" t="inlineStr">
        <is>
          <t>Y5</t>
        </is>
      </c>
      <c r="G3" s="7" t="inlineStr">
        <is>
          <t>Cumulato</t>
        </is>
      </c>
    </row>
    <row r="5">
      <c r="A5" t="inlineStr">
        <is>
          <t>Revenue</t>
        </is>
      </c>
      <c r="B5" s="9" t="n">
        <v>260000</v>
      </c>
      <c r="C5" s="9" t="n">
        <v>468000</v>
      </c>
      <c r="D5" s="9" t="n">
        <v>1029600</v>
      </c>
      <c r="E5" s="9" t="n">
        <v>1544400</v>
      </c>
      <c r="F5" s="9" t="n">
        <v>2161800</v>
      </c>
    </row>
    <row r="6">
      <c r="A6" t="inlineStr">
        <is>
          <t>OpEx</t>
        </is>
      </c>
      <c r="B6" s="9" t="n">
        <v>-750000</v>
      </c>
      <c r="C6" s="9" t="n">
        <v>-1180000</v>
      </c>
      <c r="D6" s="9" t="n">
        <v>-1700000</v>
      </c>
      <c r="E6" s="9" t="n">
        <v>-2350000</v>
      </c>
      <c r="F6" s="9" t="n">
        <v>-2900000</v>
      </c>
    </row>
    <row r="7">
      <c r="A7" s="8" t="inlineStr">
        <is>
          <t>EBITDA</t>
        </is>
      </c>
      <c r="B7" s="9">
        <f>B5+B6</f>
        <v/>
      </c>
      <c r="C7" s="9">
        <f>C5+C6</f>
        <v/>
      </c>
      <c r="D7" s="9">
        <f>D5+D6</f>
        <v/>
      </c>
      <c r="E7" s="9">
        <f>E5+E6</f>
        <v/>
      </c>
      <c r="F7" s="9">
        <f>F5+F6</f>
        <v/>
      </c>
    </row>
    <row r="8">
      <c r="A8" t="inlineStr">
        <is>
          <t>D&amp;A (5y)</t>
        </is>
      </c>
      <c r="B8" s="9" t="n">
        <v>-280000</v>
      </c>
      <c r="C8" s="9" t="n">
        <v>-280000</v>
      </c>
      <c r="D8" s="9" t="n">
        <v>-280000</v>
      </c>
      <c r="E8" s="9" t="n">
        <v>-380000</v>
      </c>
      <c r="F8" s="9" t="n">
        <v>-380000</v>
      </c>
    </row>
    <row r="9">
      <c r="A9" s="8" t="inlineStr">
        <is>
          <t>EBIT</t>
        </is>
      </c>
      <c r="B9" s="9">
        <f>B7+B8</f>
        <v/>
      </c>
      <c r="C9" s="9">
        <f>C7+C8</f>
        <v/>
      </c>
      <c r="D9" s="9">
        <f>D7+D8</f>
        <v/>
      </c>
      <c r="E9" s="9">
        <f>E7+E8</f>
        <v/>
      </c>
      <c r="F9" s="9">
        <f>F7+F8</f>
        <v/>
      </c>
    </row>
    <row r="10">
      <c r="A10" t="inlineStr">
        <is>
          <t>Tax (24%)</t>
        </is>
      </c>
      <c r="B10" s="9">
        <f>IF(B9&gt;0,-B9*0.24,0)</f>
        <v/>
      </c>
      <c r="C10" s="9">
        <f>IF(C9&gt;0,-C9*0.24,0)</f>
        <v/>
      </c>
      <c r="D10" s="9">
        <f>IF(D9&gt;0,-D9*0.24,0)</f>
        <v/>
      </c>
      <c r="E10" s="9">
        <f>IF(E9&gt;0,-E9*0.24,0)</f>
        <v/>
      </c>
      <c r="F10" s="9">
        <f>IF(F9&gt;0,-F9*0.24,0)</f>
        <v/>
      </c>
    </row>
    <row r="11">
      <c r="A11" s="8" t="inlineStr">
        <is>
          <t>Net Income</t>
        </is>
      </c>
      <c r="B11" s="9">
        <f>B9+B10</f>
        <v/>
      </c>
      <c r="C11" s="9">
        <f>C9+C10</f>
        <v/>
      </c>
      <c r="D11" s="9">
        <f>D9+D10</f>
        <v/>
      </c>
      <c r="E11" s="9">
        <f>E9+E10</f>
        <v/>
      </c>
      <c r="F11" s="9">
        <f>F9+F10</f>
        <v/>
      </c>
    </row>
    <row r="12">
      <c r="A12" t="inlineStr">
        <is>
          <t>(+ D&amp;A)</t>
        </is>
      </c>
      <c r="B12" s="9" t="n">
        <v>280000</v>
      </c>
      <c r="C12" s="9" t="n">
        <v>280000</v>
      </c>
      <c r="D12" s="9" t="n">
        <v>280000</v>
      </c>
      <c r="E12" s="9" t="n">
        <v>380000</v>
      </c>
      <c r="F12" s="9" t="n">
        <v>380000</v>
      </c>
    </row>
    <row r="13">
      <c r="A13" s="8" t="inlineStr">
        <is>
          <t>Operating CF</t>
        </is>
      </c>
      <c r="B13" s="9">
        <f>B11+B12</f>
        <v/>
      </c>
      <c r="C13" s="9">
        <f>C11+C12</f>
        <v/>
      </c>
      <c r="D13" s="9">
        <f>D11+D12</f>
        <v/>
      </c>
      <c r="E13" s="9">
        <f>E11+E12</f>
        <v/>
      </c>
      <c r="F13" s="9">
        <f>F11+F12</f>
        <v/>
      </c>
    </row>
    <row r="14">
      <c r="A14" t="inlineStr">
        <is>
          <t>CapEx</t>
        </is>
      </c>
      <c r="B14" s="9" t="n">
        <v>-1400000</v>
      </c>
      <c r="C14" s="9" t="n">
        <v>-800000</v>
      </c>
      <c r="D14" s="9" t="n">
        <v>-1000000</v>
      </c>
      <c r="E14" s="9" t="n">
        <v>-500000</v>
      </c>
      <c r="F14" s="9" t="n">
        <v>-500000</v>
      </c>
    </row>
    <row r="15">
      <c r="A15" s="8" t="inlineStr">
        <is>
          <t>FCF</t>
        </is>
      </c>
      <c r="B15" s="9">
        <f>B13+B14</f>
        <v/>
      </c>
      <c r="C15" s="9">
        <f>C13+C14</f>
        <v/>
      </c>
      <c r="D15" s="9">
        <f>D13+D14</f>
        <v/>
      </c>
      <c r="E15" s="9">
        <f>E13+E14</f>
        <v/>
      </c>
      <c r="F15" s="9">
        <f>F13+F14</f>
        <v/>
      </c>
    </row>
    <row r="16">
      <c r="A16" s="10" t="inlineStr">
        <is>
          <t>FCF Cumulato</t>
        </is>
      </c>
      <c r="B16" s="11">
        <f>B15</f>
        <v/>
      </c>
      <c r="C16" s="11">
        <f>B16+C15</f>
        <v/>
      </c>
      <c r="D16" s="11">
        <f>C16+D15</f>
        <v/>
      </c>
      <c r="E16" s="11">
        <f>D16+E15</f>
        <v/>
      </c>
      <c r="F16" s="11">
        <f>E16+F15</f>
        <v/>
      </c>
    </row>
    <row r="19">
      <c r="A19" s="5" t="inlineStr">
        <is>
          <t>📊 KPI FINANZIARI:</t>
        </is>
      </c>
    </row>
    <row r="20">
      <c r="A20" t="inlineStr">
        <is>
          <t>Break-even cumulato</t>
        </is>
      </c>
      <c r="B20" t="inlineStr">
        <is>
          <t>Y4-Y5 (scenario base; sliding Y6-Y7)</t>
        </is>
      </c>
    </row>
    <row r="21">
      <c r="A21" t="inlineStr">
        <is>
          <t>Payback semplice</t>
        </is>
      </c>
      <c r="B21" t="inlineStr">
        <is>
          <t>5-6 anni baseline; sliding 7-8 anni</t>
        </is>
      </c>
    </row>
  </sheetData>
  <mergeCells count="4">
    <mergeCell ref="B21:G21"/>
    <mergeCell ref="B20:G20"/>
    <mergeCell ref="A19:G19"/>
    <mergeCell ref="A1:G1"/>
  </mergeCells>
  <conditionalFormatting sqref="B16:F16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30" customWidth="1" min="3" max="3"/>
    <col width="15" customWidth="1" min="4" max="4"/>
    <col width="15" customWidth="1" min="5" max="5"/>
  </cols>
  <sheetData>
    <row r="1" ht="25" customHeight="1">
      <c r="A1" s="6" t="inlineStr">
        <is>
          <t>NPV / IRR / PAYBACK / ROI</t>
        </is>
      </c>
    </row>
    <row r="3">
      <c r="A3" s="8" t="inlineStr">
        <is>
          <t>Parametri input</t>
        </is>
      </c>
    </row>
    <row r="4">
      <c r="A4" t="inlineStr">
        <is>
          <t>WACC blended</t>
        </is>
      </c>
      <c r="B4" s="15" t="n">
        <v>0.12</v>
      </c>
    </row>
    <row r="5">
      <c r="A5" t="inlineStr">
        <is>
          <t>Tax rate</t>
        </is>
      </c>
      <c r="B5" s="15" t="n">
        <v>0.24</v>
      </c>
    </row>
    <row r="6">
      <c r="A6" t="inlineStr">
        <is>
          <t>Horizon</t>
        </is>
      </c>
      <c r="B6" t="inlineStr">
        <is>
          <t>10 anni (extrapolated Y6-Y10)</t>
        </is>
      </c>
    </row>
    <row r="8">
      <c r="A8" s="7" t="inlineStr">
        <is>
          <t>Anno</t>
        </is>
      </c>
      <c r="B8" s="7" t="inlineStr">
        <is>
          <t>FCF (€)</t>
        </is>
      </c>
      <c r="C8" s="7" t="inlineStr">
        <is>
          <t>FCF Attualizzato (€) @ WACC 12%</t>
        </is>
      </c>
    </row>
    <row r="9">
      <c r="A9" t="inlineStr">
        <is>
          <t>Y1</t>
        </is>
      </c>
      <c r="B9" s="9" t="n">
        <v>-1390000</v>
      </c>
      <c r="C9" s="9">
        <f>B9/(1.12^1)</f>
        <v/>
      </c>
    </row>
    <row r="10">
      <c r="A10" t="inlineStr">
        <is>
          <t>Y2</t>
        </is>
      </c>
      <c r="B10" s="9" t="n">
        <v>-680000</v>
      </c>
      <c r="C10" s="9">
        <f>B10/(1.12^2)</f>
        <v/>
      </c>
    </row>
    <row r="11">
      <c r="A11" t="inlineStr">
        <is>
          <t>Y3</t>
        </is>
      </c>
      <c r="B11" s="9" t="n">
        <v>-88000</v>
      </c>
      <c r="C11" s="9">
        <f>B11/(1.12^3)</f>
        <v/>
      </c>
    </row>
    <row r="12">
      <c r="A12" t="inlineStr">
        <is>
          <t>Y4</t>
        </is>
      </c>
      <c r="B12" s="9" t="n">
        <v>1400000</v>
      </c>
      <c r="C12" s="9">
        <f>B12/(1.12^4)</f>
        <v/>
      </c>
    </row>
    <row r="13">
      <c r="A13" t="inlineStr">
        <is>
          <t>Y5</t>
        </is>
      </c>
      <c r="B13" s="9" t="n">
        <v>2388000</v>
      </c>
      <c r="C13" s="9">
        <f>B13/(1.12^5)</f>
        <v/>
      </c>
    </row>
    <row r="14">
      <c r="A14" t="inlineStr">
        <is>
          <t>Y6</t>
        </is>
      </c>
      <c r="B14" s="9" t="n">
        <v>3200000</v>
      </c>
      <c r="C14" s="9">
        <f>B14/(1.12^6)</f>
        <v/>
      </c>
    </row>
    <row r="15">
      <c r="A15" t="inlineStr">
        <is>
          <t>Y7</t>
        </is>
      </c>
      <c r="B15" s="9" t="n">
        <v>4000000</v>
      </c>
      <c r="C15" s="9">
        <f>B15/(1.12^7)</f>
        <v/>
      </c>
    </row>
    <row r="16">
      <c r="A16" t="inlineStr">
        <is>
          <t>Y8</t>
        </is>
      </c>
      <c r="B16" s="9" t="n">
        <v>4800000</v>
      </c>
      <c r="C16" s="9">
        <f>B16/(1.12^8)</f>
        <v/>
      </c>
    </row>
    <row r="17">
      <c r="A17" t="inlineStr">
        <is>
          <t>Y9</t>
        </is>
      </c>
      <c r="B17" s="9" t="n">
        <v>5500000</v>
      </c>
      <c r="C17" s="9">
        <f>B17/(1.12^9)</f>
        <v/>
      </c>
    </row>
    <row r="18">
      <c r="A18" t="inlineStr">
        <is>
          <t>Y10</t>
        </is>
      </c>
      <c r="B18" s="9" t="n">
        <v>6000000</v>
      </c>
      <c r="C18" s="9">
        <f>B18/(1.12^10)</f>
        <v/>
      </c>
    </row>
    <row r="19">
      <c r="A19" s="10" t="inlineStr">
        <is>
          <t>NPV 10y (WACC 12%)</t>
        </is>
      </c>
      <c r="B19" s="11">
        <f>SUM(C9:C18)</f>
        <v/>
      </c>
    </row>
    <row r="20">
      <c r="A20" s="10" t="inlineStr">
        <is>
          <t>IRR 10y</t>
        </is>
      </c>
      <c r="B20" s="16">
        <f>IRR(B9:B18)</f>
        <v/>
      </c>
    </row>
    <row r="21">
      <c r="A21" t="inlineStr">
        <is>
          <t>Payback semplice</t>
        </is>
      </c>
      <c r="B21" t="inlineStr">
        <is>
          <t>~5 anni (Y4 cumulato positivo, Y5 consolidato)</t>
        </is>
      </c>
    </row>
    <row r="22">
      <c r="A22" t="inlineStr">
        <is>
          <t>ROI 10y (FCF cumulato / |CapEx Y1+Y2|)</t>
        </is>
      </c>
      <c r="B22" s="15">
        <f>SUM(B9:B19)/ABS(B9+B10)</f>
        <v/>
      </c>
    </row>
    <row r="24">
      <c r="A24" s="14" t="inlineStr">
        <is>
          <t>⚠️ CAVEAT NPV/IRR:</t>
        </is>
      </c>
    </row>
    <row r="25">
      <c r="A25" s="3" t="inlineStr">
        <is>
          <t>• Y6-Y10 FCF sono ESTRAPOLAZIONI; confidence LOW (no validation reale di scale-up multi-regione + HAPS commerciale)</t>
        </is>
      </c>
    </row>
    <row r="26">
      <c r="A26" s="3" t="inlineStr">
        <is>
          <t>• WACC 12% blended assume 40-50% grant nel mix; se grant ↓ → WACC ↑ 18-22% → NPV cala 30-50%</t>
        </is>
      </c>
    </row>
    <row r="27">
      <c r="A27" s="3" t="inlineStr">
        <is>
          <t>• Scenario sliding timeline (Cap. 9 §9.12): break-even Y6-Y7, IRR 8-15%</t>
        </is>
      </c>
    </row>
    <row r="28">
      <c r="A28" s="3" t="inlineStr">
        <is>
          <t>• Per investment-grade richiede modello Monte Carlo (out-of-scope MVP)</t>
        </is>
      </c>
    </row>
  </sheetData>
  <mergeCells count="7">
    <mergeCell ref="B21:C21"/>
    <mergeCell ref="A26:E26"/>
    <mergeCell ref="A24:E24"/>
    <mergeCell ref="A28:E28"/>
    <mergeCell ref="A25:E25"/>
    <mergeCell ref="A1:E1"/>
    <mergeCell ref="A27:E2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2" customWidth="1" min="4" max="4"/>
    <col width="14" customWidth="1" min="5" max="5"/>
    <col width="50" customWidth="1" min="6" max="6"/>
  </cols>
  <sheetData>
    <row r="1" ht="25" customHeight="1">
      <c r="A1" s="6" t="inlineStr">
        <is>
          <t>SENSITIVITY ANALYSIS — Impatto su NPV 10y di variazione driver primari</t>
        </is>
      </c>
    </row>
    <row r="3">
      <c r="A3" s="7" t="inlineStr">
        <is>
          <t>Driver</t>
        </is>
      </c>
      <c r="B3" s="7" t="inlineStr">
        <is>
          <t>Variazione</t>
        </is>
      </c>
      <c r="C3" s="7" t="inlineStr">
        <is>
          <t>ΔNPV (€)</t>
        </is>
      </c>
      <c r="D3" s="7" t="inlineStr">
        <is>
          <t>ΔNPV (%)</t>
        </is>
      </c>
      <c r="E3" s="7" t="inlineStr">
        <is>
          <t>Sensitivity</t>
        </is>
      </c>
      <c r="F3" s="7" t="inlineStr">
        <is>
          <t>Note</t>
        </is>
      </c>
    </row>
    <row r="4">
      <c r="A4" t="inlineStr">
        <is>
          <t>Pricing PA (Cluster D ricalibrato)</t>
        </is>
      </c>
      <c r="B4" t="inlineStr">
        <is>
          <t>-20%</t>
        </is>
      </c>
      <c r="C4" s="9" t="n">
        <v>-2500000</v>
      </c>
      <c r="D4" t="inlineStr">
        <is>
          <t>-65%</t>
        </is>
      </c>
      <c r="E4" s="17" t="inlineStr">
        <is>
          <t>ALTA</t>
        </is>
      </c>
      <c r="F4" t="inlineStr">
        <is>
          <t>Driver primario; falsifica modello se &lt; €60k/anno</t>
        </is>
      </c>
    </row>
    <row r="5">
      <c r="A5" t="inlineStr">
        <is>
          <t>Utilization rate flotta</t>
        </is>
      </c>
      <c r="B5" t="inlineStr">
        <is>
          <t>-20%</t>
        </is>
      </c>
      <c r="C5" s="9" t="n">
        <v>-2000000</v>
      </c>
      <c r="D5" t="inlineStr">
        <is>
          <t>-52%</t>
        </is>
      </c>
      <c r="E5" s="17" t="inlineStr">
        <is>
          <t>ALTA</t>
        </is>
      </c>
      <c r="F5" t="inlineStr">
        <is>
          <t>Critical per ARR Y3+; sotto 40% break-even Y7+</t>
        </is>
      </c>
    </row>
    <row r="6">
      <c r="A6" t="inlineStr">
        <is>
          <t>CapEx aggregato Y1-Y5</t>
        </is>
      </c>
      <c r="B6" t="inlineStr">
        <is>
          <t>+30% (overrun)</t>
        </is>
      </c>
      <c r="C6" s="9" t="n">
        <v>-1500000</v>
      </c>
      <c r="D6" t="inlineStr">
        <is>
          <t>-39%</t>
        </is>
      </c>
      <c r="E6" s="18" t="inlineStr">
        <is>
          <t>MEDIA</t>
        </is>
      </c>
      <c r="F6" t="inlineStr">
        <is>
          <t>Base rate aerospace 30-150%, scenario realistico</t>
        </is>
      </c>
    </row>
    <row r="7">
      <c r="A7" t="inlineStr">
        <is>
          <t>OpEx (incl. Personnel Regulatory)</t>
        </is>
      </c>
      <c r="B7" t="inlineStr">
        <is>
          <t>+25%</t>
        </is>
      </c>
      <c r="C7" s="9" t="n">
        <v>-1100000</v>
      </c>
      <c r="D7" t="inlineStr">
        <is>
          <t>-29%</t>
        </is>
      </c>
      <c r="E7" s="18" t="inlineStr">
        <is>
          <t>MEDIA</t>
        </is>
      </c>
      <c r="F7" t="inlineStr">
        <is>
          <t>+3 FTE post Cap.5 §5.17 = +€450-800k OpEx/anno</t>
        </is>
      </c>
    </row>
    <row r="8">
      <c r="A8" t="inlineStr">
        <is>
          <t>WACC blended (12% → 18%)</t>
        </is>
      </c>
      <c r="B8" t="inlineStr">
        <is>
          <t>+6pp</t>
        </is>
      </c>
      <c r="C8" s="9" t="n">
        <v>-1500000</v>
      </c>
      <c r="D8" t="inlineStr">
        <is>
          <t>-39%</t>
        </is>
      </c>
      <c r="E8" s="19" t="inlineStr">
        <is>
          <t>MEDIA-ALTA</t>
        </is>
      </c>
      <c r="F8" t="inlineStr">
        <is>
          <t>Se grant ↓ in funding mix</t>
        </is>
      </c>
    </row>
    <row r="9">
      <c r="A9" t="inlineStr">
        <is>
          <t>Mix grant nel CapEx (60% → 30%)</t>
        </is>
      </c>
      <c r="B9" t="inlineStr">
        <is>
          <t>-30pp</t>
        </is>
      </c>
      <c r="C9" s="9" t="n">
        <v>-800000</v>
      </c>
      <c r="D9" t="inlineStr">
        <is>
          <t>-21%</t>
        </is>
      </c>
      <c r="E9" s="18" t="inlineStr">
        <is>
          <t>MEDIA</t>
        </is>
      </c>
      <c r="F9" t="inlineStr">
        <is>
          <t>Cash flow gap se Coopfond/FESR ritardati</t>
        </is>
      </c>
    </row>
    <row r="10">
      <c r="A10" t="inlineStr">
        <is>
          <t>Revenue Y3 (scale-up)</t>
        </is>
      </c>
      <c r="B10" t="inlineStr">
        <is>
          <t>-30%</t>
        </is>
      </c>
      <c r="C10" s="9" t="n">
        <v>-1800000</v>
      </c>
      <c r="D10" t="inlineStr">
        <is>
          <t>-47%</t>
        </is>
      </c>
      <c r="E10" s="17" t="inlineStr">
        <is>
          <t>ALTA</t>
        </is>
      </c>
      <c r="F10" t="inlineStr">
        <is>
          <t>Adoption SNAI lenta = break-even ritardato</t>
        </is>
      </c>
    </row>
    <row r="12">
      <c r="A12" s="5" t="inlineStr">
        <is>
          <t>🎯 TOP-3 DRIVER DA MONITORARE:</t>
        </is>
      </c>
    </row>
    <row r="13">
      <c r="A13" t="inlineStr">
        <is>
          <t>1. Pricing PA (single most important — falsifica €150k → €75k/anno baseline)</t>
        </is>
      </c>
    </row>
    <row r="14">
      <c r="A14" t="inlineStr">
        <is>
          <t>2. Utilization rate (% ore disponibili fatturate; target 60-70%)</t>
        </is>
      </c>
    </row>
    <row r="15">
      <c r="A15" t="inlineStr">
        <is>
          <t>3. Revenue Y3 (validazione scale-up multi-regione SNAI)</t>
        </is>
      </c>
    </row>
  </sheetData>
  <mergeCells count="5">
    <mergeCell ref="A13:F13"/>
    <mergeCell ref="A14:F14"/>
    <mergeCell ref="A1:F1"/>
    <mergeCell ref="A12:F12"/>
    <mergeCell ref="A15:F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50" customWidth="1" min="5" max="5"/>
  </cols>
  <sheetData>
    <row r="1" ht="25" customHeight="1">
      <c r="A1" s="6" t="inlineStr">
        <is>
          <t>SCENARI WORST / BASE / BEST — 10 anni</t>
        </is>
      </c>
    </row>
    <row r="3">
      <c r="A3" s="7" t="inlineStr">
        <is>
          <t>Metrica</t>
        </is>
      </c>
      <c r="B3" s="7" t="inlineStr">
        <is>
          <t>Worst (P 25%)</t>
        </is>
      </c>
      <c r="C3" s="7" t="inlineStr">
        <is>
          <t>Base (P 55%)</t>
        </is>
      </c>
      <c r="D3" s="7" t="inlineStr">
        <is>
          <t>Best (P 20%)</t>
        </is>
      </c>
      <c r="E3" s="7" t="inlineStr">
        <is>
          <t>Note</t>
        </is>
      </c>
    </row>
    <row r="4">
      <c r="A4" s="8" t="inlineStr">
        <is>
          <t>Revenue Y1</t>
        </is>
      </c>
      <c r="B4" s="9" t="n">
        <v>150000</v>
      </c>
      <c r="C4" s="9" t="n">
        <v>260000</v>
      </c>
      <c r="D4" s="9" t="n">
        <v>450000</v>
      </c>
      <c r="E4" t="inlineStr">
        <is>
          <t>Worst = Cluster D pricing prevale; Best = partnership Planetek</t>
        </is>
      </c>
    </row>
    <row r="5">
      <c r="A5" s="8" t="inlineStr">
        <is>
          <t>Revenue Y3</t>
        </is>
      </c>
      <c r="B5" s="9" t="n">
        <v>1000000</v>
      </c>
      <c r="C5" s="9" t="n">
        <v>2500000</v>
      </c>
      <c r="D5" s="9" t="n">
        <v>4500000</v>
      </c>
      <c r="E5" t="inlineStr">
        <is>
          <t>Worst = no scale-up multi-regione; Best = utility early adopter</t>
        </is>
      </c>
    </row>
    <row r="6">
      <c r="A6" s="8" t="inlineStr">
        <is>
          <t>Revenue Y5</t>
        </is>
      </c>
      <c r="B6" s="9" t="n">
        <v>2500000</v>
      </c>
      <c r="C6" s="9" t="n">
        <v>6500000</v>
      </c>
      <c r="D6" s="9" t="n">
        <v>15000000</v>
      </c>
      <c r="E6" t="inlineStr">
        <is>
          <t>Best = HAPS subscale + utility expansion</t>
        </is>
      </c>
    </row>
    <row r="7">
      <c r="A7" s="8" t="inlineStr">
        <is>
          <t>Revenue Y10</t>
        </is>
      </c>
      <c r="B7" s="9" t="n">
        <v>8000000</v>
      </c>
      <c r="C7" s="9" t="n">
        <v>30000000</v>
      </c>
      <c r="D7" s="9" t="n">
        <v>80000000</v>
      </c>
      <c r="E7" t="inlineStr">
        <is>
          <t>Best = consorzio EU sovereign; B2-relaxed = base</t>
        </is>
      </c>
    </row>
    <row r="8">
      <c r="A8" s="8" t="inlineStr">
        <is>
          <t>CapEx Y1</t>
        </is>
      </c>
      <c r="B8" s="9" t="n">
        <v>1960000</v>
      </c>
      <c r="C8" s="9" t="n">
        <v>1400000</v>
      </c>
      <c r="D8" s="9" t="n">
        <v>970000</v>
      </c>
      <c r="E8" t="inlineStr">
        <is>
          <t>Worst = overrun 50%, Best = efficient execution</t>
        </is>
      </c>
    </row>
    <row r="9">
      <c r="A9" s="8" t="inlineStr">
        <is>
          <t>OpEx Y2 (incl. regulatory)</t>
        </is>
      </c>
      <c r="B9" s="9" t="n">
        <v>1300000</v>
      </c>
      <c r="C9" s="9" t="n">
        <v>1180000</v>
      </c>
      <c r="D9" s="9" t="n">
        <v>950000</v>
      </c>
      <c r="E9" t="inlineStr">
        <is>
          <t>Worst = +3 FTE expensive; Best = lean operations</t>
        </is>
      </c>
    </row>
    <row r="10">
      <c r="A10" s="8" t="inlineStr">
        <is>
          <t>FCF Y5 cumulato</t>
        </is>
      </c>
      <c r="B10" s="9" t="n">
        <v>-1500000</v>
      </c>
      <c r="C10" s="9" t="n">
        <v>1863000</v>
      </c>
      <c r="D10" s="9" t="n">
        <v>6000000</v>
      </c>
    </row>
    <row r="11">
      <c r="A11" s="8" t="inlineStr">
        <is>
          <t>Break-even</t>
        </is>
      </c>
      <c r="B11" t="inlineStr">
        <is>
          <t>Y8+</t>
        </is>
      </c>
      <c r="C11" t="inlineStr">
        <is>
          <t>Y4-Y5</t>
        </is>
      </c>
      <c r="D11" t="inlineStr">
        <is>
          <t>Y3-Y4</t>
        </is>
      </c>
      <c r="E11" t="inlineStr">
        <is>
          <t>Best richiede esecuzione perfetta + LoI early</t>
        </is>
      </c>
    </row>
    <row r="12">
      <c r="A12" s="8" t="inlineStr">
        <is>
          <t>NPV 10y (WACC 12%)</t>
        </is>
      </c>
      <c r="B12" s="9" t="n">
        <v>-2000000</v>
      </c>
      <c r="C12" s="9" t="n">
        <v>3500000</v>
      </c>
      <c r="D12" s="9" t="n">
        <v>25000000</v>
      </c>
      <c r="E12" t="inlineStr">
        <is>
          <t>Worst = NPV negativo, progetto non profittevole</t>
        </is>
      </c>
    </row>
    <row r="13">
      <c r="A13" s="8" t="inlineStr">
        <is>
          <t>IRR 10y</t>
        </is>
      </c>
      <c r="B13" t="inlineStr">
        <is>
          <t>negativo</t>
        </is>
      </c>
      <c r="C13" t="inlineStr">
        <is>
          <t>18-22%</t>
        </is>
      </c>
      <c r="D13" t="inlineStr">
        <is>
          <t>35-45%</t>
        </is>
      </c>
    </row>
    <row r="14">
      <c r="A14" s="8" t="inlineStr">
        <is>
          <t>Payback</t>
        </is>
      </c>
      <c r="B14" t="inlineStr">
        <is>
          <t>non raggiunto</t>
        </is>
      </c>
      <c r="C14" t="inlineStr">
        <is>
          <t>5 anni</t>
        </is>
      </c>
      <c r="D14" t="inlineStr">
        <is>
          <t>3 anni</t>
        </is>
      </c>
    </row>
    <row r="17">
      <c r="A17" s="5" t="inlineStr">
        <is>
          <t>🎯 RACCOMANDAZIONE: pianificare su scenario BASE; budget contingency per Worst.</t>
        </is>
      </c>
    </row>
    <row r="18">
      <c r="A18" s="3" t="inlineStr">
        <is>
          <t>⚠️ P(scenario Worst) = 25%; P(Base) = 55%; P(Best) = 20% — totali 100%</t>
        </is>
      </c>
    </row>
  </sheetData>
  <mergeCells count="3">
    <mergeCell ref="A1:E1"/>
    <mergeCell ref="A18:E18"/>
    <mergeCell ref="A17:E1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0" customWidth="1" min="3" max="3"/>
    <col width="22" customWidth="1" min="4" max="4"/>
    <col width="35" customWidth="1" min="5" max="5"/>
  </cols>
  <sheetData>
    <row r="1" ht="25" customHeight="1">
      <c r="A1" s="6" t="inlineStr">
        <is>
          <t>MIX FINANZIAMENTI Y1 6A + Phase B 6B</t>
        </is>
      </c>
    </row>
    <row r="3">
      <c r="A3" s="8" t="inlineStr">
        <is>
          <t>MIX Y1 6A (target CapEx €1.4M baseline)</t>
        </is>
      </c>
    </row>
    <row r="4">
      <c r="A4" s="7" t="inlineStr">
        <is>
          <t>Fonte</t>
        </is>
      </c>
      <c r="B4" s="7" t="inlineStr">
        <is>
          <t>Importo target (€)</t>
        </is>
      </c>
      <c r="C4" s="7" t="inlineStr">
        <is>
          <t>%</t>
        </is>
      </c>
      <c r="D4" s="7" t="inlineStr">
        <is>
          <t>Status</t>
        </is>
      </c>
      <c r="E4" s="7" t="inlineStr">
        <is>
          <t>Note</t>
        </is>
      </c>
    </row>
    <row r="5">
      <c r="A5" t="inlineStr">
        <is>
          <t>Coopfond Cooding Prototypes 2026</t>
        </is>
      </c>
      <c r="B5" s="9" t="n">
        <v>50000</v>
      </c>
      <c r="C5" t="inlineStr">
        <is>
          <t>3.6%</t>
        </is>
      </c>
      <c r="D5" t="inlineStr">
        <is>
          <t>⏳ DR-002 verifica</t>
        </is>
      </c>
      <c r="E5" t="inlineStr">
        <is>
          <t>max €50k, ≥10 cooperative</t>
        </is>
      </c>
    </row>
    <row r="6">
      <c r="A6" t="inlineStr">
        <is>
          <t>Coopfond Cooding-Invest</t>
        </is>
      </c>
      <c r="B6" s="9" t="n">
        <v>220000</v>
      </c>
      <c r="C6" t="inlineStr">
        <is>
          <t>15.7%</t>
        </is>
      </c>
      <c r="D6" t="inlineStr">
        <is>
          <t>⏳ Q2 2026</t>
        </is>
      </c>
      <c r="E6" t="inlineStr">
        <is>
          <t>max €250k</t>
        </is>
      </c>
    </row>
    <row r="7">
      <c r="A7" t="inlineStr">
        <is>
          <t>Regione Liguria FESR 2021-27</t>
        </is>
      </c>
      <c r="B7" s="9" t="n">
        <v>400000</v>
      </c>
      <c r="C7" t="inlineStr">
        <is>
          <t>28.6%</t>
        </is>
      </c>
      <c r="D7" t="inlineStr">
        <is>
          <t>⏳ OQ-010 LoI</t>
        </is>
      </c>
      <c r="E7" t="inlineStr">
        <is>
          <t>OS 1.1 + OS 5.2</t>
        </is>
      </c>
    </row>
    <row r="8">
      <c r="A8" t="inlineStr">
        <is>
          <t>PNRR Aerospazio / IS4Aerospace</t>
        </is>
      </c>
      <c r="B8" s="9" t="n">
        <v>100000</v>
      </c>
      <c r="C8" t="inlineStr">
        <is>
          <t>7.1%</t>
        </is>
      </c>
      <c r="D8" t="inlineStr">
        <is>
          <t>⏳ M+12+ via Polito</t>
        </is>
      </c>
      <c r="E8" t="inlineStr">
        <is>
          <t>Partnership possibile</t>
        </is>
      </c>
    </row>
    <row r="9">
      <c r="A9" t="inlineStr">
        <is>
          <t>Equity privato (founder + seed)</t>
        </is>
      </c>
      <c r="B9" s="9" t="n">
        <v>350000</v>
      </c>
      <c r="C9" t="inlineStr">
        <is>
          <t>25.0%</t>
        </is>
      </c>
      <c r="D9" t="inlineStr">
        <is>
          <t>✓ Round Q1-Q2 2026</t>
        </is>
      </c>
      <c r="E9" t="inlineStr">
        <is>
          <t>Dilution 15-25%</t>
        </is>
      </c>
    </row>
    <row r="10">
      <c r="A10" t="inlineStr">
        <is>
          <t>R&amp;D tax credit (L.160/2019)</t>
        </is>
      </c>
      <c r="B10" s="9" t="n">
        <v>100000</v>
      </c>
      <c r="C10" t="inlineStr">
        <is>
          <t>7.1%</t>
        </is>
      </c>
      <c r="D10" t="inlineStr">
        <is>
          <t>✓ Cumulabile</t>
        </is>
      </c>
      <c r="E10" t="inlineStr">
        <is>
          <t>Recovery post-spesa</t>
        </is>
      </c>
    </row>
    <row r="11">
      <c r="A11" t="inlineStr">
        <is>
          <t>[GAP residuo da coprire]</t>
        </is>
      </c>
      <c r="B11" s="9" t="n">
        <v>180000</v>
      </c>
      <c r="C11" t="inlineStr">
        <is>
          <t>12.9%</t>
        </is>
      </c>
      <c r="D11" t="inlineStr">
        <is>
          <t>⚠️ TBD</t>
        </is>
      </c>
      <c r="E11" t="inlineStr">
        <is>
          <t>Possibili bridge loan o EIC Accelerator</t>
        </is>
      </c>
    </row>
    <row r="12">
      <c r="A12" s="10" t="inlineStr">
        <is>
          <t>TOTALE Y1</t>
        </is>
      </c>
      <c r="B12" s="11">
        <f>SUM(B5:B11)</f>
        <v/>
      </c>
    </row>
    <row r="14">
      <c r="A14" s="8" t="inlineStr">
        <is>
          <t>MIX Phase B 6B (target €5.5-13.5M — R&amp;D Phase 0/A only, vedi DR-014)</t>
        </is>
      </c>
    </row>
    <row r="15">
      <c r="A15" s="7" t="inlineStr">
        <is>
          <t>Fonte</t>
        </is>
      </c>
      <c r="B15" s="7" t="inlineStr">
        <is>
          <t>Importo target (€)</t>
        </is>
      </c>
      <c r="C15" s="7" t="inlineStr">
        <is>
          <t>%</t>
        </is>
      </c>
      <c r="D15" s="7" t="inlineStr">
        <is>
          <t>Status</t>
        </is>
      </c>
      <c r="E15" s="7" t="inlineStr">
        <is>
          <t>Note</t>
        </is>
      </c>
    </row>
    <row r="16">
      <c r="A16" t="inlineStr">
        <is>
          <t>EDF call HAPS post-EuroHAPS</t>
        </is>
      </c>
      <c r="B16" s="9" t="n">
        <v>3500000</v>
      </c>
      <c r="C16" t="inlineStr">
        <is>
          <t>35%</t>
        </is>
      </c>
      <c r="D16" t="inlineStr">
        <is>
          <t>⏳ M+24-36</t>
        </is>
      </c>
      <c r="E16" t="inlineStr">
        <is>
          <t>€2-5M target</t>
        </is>
      </c>
    </row>
    <row r="17">
      <c r="A17" t="inlineStr">
        <is>
          <t>Horizon Europe Cluster 4/5</t>
        </is>
      </c>
      <c r="B17" s="9" t="n">
        <v>2000000</v>
      </c>
      <c r="C17" t="inlineStr">
        <is>
          <t>20%</t>
        </is>
      </c>
      <c r="D17" t="inlineStr">
        <is>
          <t>⏳ M+24</t>
        </is>
      </c>
      <c r="E17" t="inlineStr">
        <is>
          <t>RIA/IA</t>
        </is>
      </c>
    </row>
    <row r="18">
      <c r="A18" t="inlineStr">
        <is>
          <t>PNRR Aerospazio / ASI / MIMIT</t>
        </is>
      </c>
      <c r="B18" s="9" t="n">
        <v>1500000</v>
      </c>
      <c r="C18" t="inlineStr">
        <is>
          <t>15%</t>
        </is>
      </c>
      <c r="D18" t="inlineStr">
        <is>
          <t>⏳ M+18+</t>
        </is>
      </c>
      <c r="E18" t="inlineStr">
        <is>
          <t>Partnership Polito/CIRA</t>
        </is>
      </c>
    </row>
    <row r="19">
      <c r="A19" t="inlineStr">
        <is>
          <t>Equity privato Series A/B</t>
        </is>
      </c>
      <c r="B19" s="9" t="n">
        <v>2000000</v>
      </c>
      <c r="C19" t="inlineStr">
        <is>
          <t>20%</t>
        </is>
      </c>
      <c r="D19" t="inlineStr">
        <is>
          <t>⏳ M+24+</t>
        </is>
      </c>
      <c r="E19" t="inlineStr">
        <is>
          <t>Series B €15-50M raised</t>
        </is>
      </c>
    </row>
    <row r="20">
      <c r="A20" t="inlineStr">
        <is>
          <t>R&amp;D tax credit + Patent Box</t>
        </is>
      </c>
      <c r="B20" s="9" t="n">
        <v>750000</v>
      </c>
      <c r="C20" t="inlineStr">
        <is>
          <t>7.5%</t>
        </is>
      </c>
      <c r="D20" t="inlineStr">
        <is>
          <t>✓ Cumulabile</t>
        </is>
      </c>
    </row>
    <row r="21">
      <c r="A21" t="inlineStr">
        <is>
          <t>CIRA cooperazione in-kind</t>
        </is>
      </c>
      <c r="B21" s="9" t="n">
        <v>250000</v>
      </c>
      <c r="C21" t="inlineStr">
        <is>
          <t>2.5%</t>
        </is>
      </c>
      <c r="D21" t="inlineStr">
        <is>
          <t>⏳ DR-010</t>
        </is>
      </c>
      <c r="E21" t="inlineStr">
        <is>
          <t>Soggetto a MOU</t>
        </is>
      </c>
    </row>
    <row r="22">
      <c r="A22" s="10" t="inlineStr">
        <is>
          <t>TOTALE Phase B</t>
        </is>
      </c>
      <c r="B22" s="11">
        <f>SUM(B16:B21)</f>
        <v/>
      </c>
    </row>
    <row r="24">
      <c r="A24" s="3" t="inlineStr">
        <is>
          <t>⚠️ Phase B €10M è R&amp;D Phase 0/A; operativa commerciale richiede €50-200M+ (DR-014). Pivot raccomandato: 'Firmamento operatore servizi su piattaforme prime contractor (Aalto/Sceye/CIRA)'.</t>
        </is>
      </c>
    </row>
  </sheetData>
  <mergeCells count="4">
    <mergeCell ref="A14:E14"/>
    <mergeCell ref="A1:E1"/>
    <mergeCell ref="A24:E24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8" customWidth="1" min="3" max="3"/>
    <col width="15" customWidth="1" min="4" max="4"/>
    <col width="15" customWidth="1" min="5" max="5"/>
  </cols>
  <sheetData>
    <row r="1" ht="25" customHeight="1">
      <c r="A1" s="6" t="inlineStr">
        <is>
          <t>QUADRO ECONOMICO — Formato D.Lgs. 36/2023 art. 41 + Allegato I.7</t>
        </is>
      </c>
    </row>
    <row r="3">
      <c r="A3" s="8" t="inlineStr">
        <is>
          <t>QE per Pilota Y1 6A — Pentema (Torriglia GE)</t>
        </is>
      </c>
    </row>
    <row r="4">
      <c r="A4" s="7" t="inlineStr">
        <is>
          <t>Codice</t>
        </is>
      </c>
      <c r="B4" s="7" t="inlineStr">
        <is>
          <t>Descrizione</t>
        </is>
      </c>
      <c r="C4" s="7" t="inlineStr">
        <is>
          <t>Importo Baseline (€)</t>
        </is>
      </c>
      <c r="D4" s="7" t="inlineStr">
        <is>
          <t>Min (€)</t>
        </is>
      </c>
      <c r="E4" s="7" t="inlineStr">
        <is>
          <t>Max (€)</t>
        </is>
      </c>
    </row>
    <row r="5">
      <c r="A5" t="inlineStr">
        <is>
          <t>A.1</t>
        </is>
      </c>
      <c r="B5" t="inlineStr">
        <is>
          <t>Piattaforma UAV (VTOL ibrido TRL 8-9)</t>
        </is>
      </c>
      <c r="C5" s="9" t="n">
        <v>350000</v>
      </c>
      <c r="D5" s="9" t="n">
        <v>250000</v>
      </c>
      <c r="E5" s="9" t="n">
        <v>400000</v>
      </c>
    </row>
    <row r="6">
      <c r="A6" t="inlineStr">
        <is>
          <t>A.2</t>
        </is>
      </c>
      <c r="B6" t="inlineStr">
        <is>
          <t>Asset accessori (GS, hangar, ricambi, payload, tools)</t>
        </is>
      </c>
      <c r="C6" s="9" t="n">
        <v>360000</v>
      </c>
      <c r="D6" s="9" t="n">
        <v>215000</v>
      </c>
      <c r="E6" s="9" t="n">
        <v>595000</v>
      </c>
    </row>
    <row r="7">
      <c r="A7" t="inlineStr">
        <is>
          <t>A.3</t>
        </is>
      </c>
      <c r="B7" t="inlineStr">
        <is>
          <t>Servizi tecnici (SW, cert., privacy, formazione, studi)</t>
        </is>
      </c>
      <c r="C7" s="9" t="n">
        <v>227000</v>
      </c>
      <c r="D7" s="9" t="n">
        <v>140000</v>
      </c>
      <c r="E7" s="9" t="n">
        <v>315000</v>
      </c>
    </row>
    <row r="8">
      <c r="A8" s="10" t="inlineStr">
        <is>
          <t>TOT A</t>
        </is>
      </c>
      <c r="B8" s="10" t="inlineStr">
        <is>
          <t>Sommatoria voci A</t>
        </is>
      </c>
      <c r="C8" s="11">
        <f>SUM(C5:C7)</f>
        <v/>
      </c>
      <c r="D8" s="11">
        <f>SUM(D5:D7)</f>
        <v/>
      </c>
      <c r="E8" s="11">
        <f>SUM(E5:E7)</f>
        <v/>
      </c>
    </row>
    <row r="10">
      <c r="A10" t="inlineStr">
        <is>
          <t>B.1</t>
        </is>
      </c>
      <c r="B10" t="inlineStr">
        <is>
          <t>Spese tecniche (progettaz. + DL + RUP, 4.5% A)</t>
        </is>
      </c>
      <c r="C10" s="9">
        <f>C8*0.045</f>
        <v/>
      </c>
      <c r="D10" s="9">
        <f>D8*0.045</f>
        <v/>
      </c>
      <c r="E10" s="9">
        <f>E8*0.045</f>
        <v/>
      </c>
    </row>
    <row r="11">
      <c r="A11" t="inlineStr">
        <is>
          <t>B.2</t>
        </is>
      </c>
      <c r="B11" t="inlineStr">
        <is>
          <t>Imprevisti / contingency (15% A)</t>
        </is>
      </c>
      <c r="C11" s="9">
        <f>C8*0.15</f>
        <v/>
      </c>
      <c r="D11" s="9">
        <f>D8*0.15</f>
        <v/>
      </c>
      <c r="E11" s="9">
        <f>E8*0.15</f>
        <v/>
      </c>
    </row>
    <row r="12">
      <c r="A12" t="inlineStr">
        <is>
          <t>B.3</t>
        </is>
      </c>
      <c r="B12" t="inlineStr">
        <is>
          <t>Spese pubblicità bandi</t>
        </is>
      </c>
      <c r="C12" s="9" t="n">
        <v>3500</v>
      </c>
      <c r="D12" s="9" t="n">
        <v>2000</v>
      </c>
      <c r="E12" s="9" t="n">
        <v>5000</v>
      </c>
    </row>
    <row r="13">
      <c r="A13" t="inlineStr">
        <is>
          <t>B.4</t>
        </is>
      </c>
      <c r="B13" t="inlineStr">
        <is>
          <t>IVA su A (22%)</t>
        </is>
      </c>
      <c r="C13" s="9">
        <f>C8*0.22</f>
        <v/>
      </c>
      <c r="D13" s="9">
        <f>D8*0.22</f>
        <v/>
      </c>
      <c r="E13" s="9">
        <f>E8*0.22</f>
        <v/>
      </c>
    </row>
    <row r="14">
      <c r="A14" t="inlineStr">
        <is>
          <t>B.5</t>
        </is>
      </c>
      <c r="B14" t="inlineStr">
        <is>
          <t>IVA su B (22%)</t>
        </is>
      </c>
      <c r="C14" s="9" t="n">
        <v>0</v>
      </c>
      <c r="D14" s="9" t="n">
        <v>0</v>
      </c>
      <c r="E14" s="9" t="n">
        <v>0</v>
      </c>
    </row>
    <row r="15">
      <c r="A15" t="inlineStr">
        <is>
          <t>B.6</t>
        </is>
      </c>
      <c r="B15" t="inlineStr">
        <is>
          <t>Allacciamenti, autorizzazioni</t>
        </is>
      </c>
      <c r="C15" s="9" t="n">
        <v>10000</v>
      </c>
      <c r="D15" s="9" t="n">
        <v>5000</v>
      </c>
      <c r="E15" s="9" t="n">
        <v>15000</v>
      </c>
    </row>
    <row r="16">
      <c r="A16" t="inlineStr">
        <is>
          <t>B.7</t>
        </is>
      </c>
      <c r="B16" t="inlineStr">
        <is>
          <t>Spese collaudo / verifica</t>
        </is>
      </c>
      <c r="C16" s="9" t="n">
        <v>17500</v>
      </c>
      <c r="D16" s="9" t="n">
        <v>10000</v>
      </c>
      <c r="E16" s="9" t="n">
        <v>25000</v>
      </c>
    </row>
    <row r="17">
      <c r="A17" s="10" t="inlineStr">
        <is>
          <t>TOT B</t>
        </is>
      </c>
      <c r="B17" s="10" t="inlineStr">
        <is>
          <t>Sommatoria voci B</t>
        </is>
      </c>
      <c r="C17" s="11">
        <f>SUM(C10:C16)</f>
        <v/>
      </c>
      <c r="D17" s="11">
        <f>SUM(D10:D16)</f>
        <v/>
      </c>
      <c r="E17" s="11">
        <f>SUM(E10:E16)</f>
        <v/>
      </c>
    </row>
    <row r="19">
      <c r="A19" s="12" t="inlineStr">
        <is>
          <t>TOT</t>
        </is>
      </c>
      <c r="B19" s="12" t="inlineStr">
        <is>
          <t>TOTALE GENERALE Y1 (A + B)</t>
        </is>
      </c>
      <c r="C19" s="13">
        <f>C8+C17</f>
        <v/>
      </c>
      <c r="D19" s="13">
        <f>D8+D17</f>
        <v/>
      </c>
      <c r="E19" s="13">
        <f>E8+E17</f>
        <v/>
      </c>
    </row>
  </sheetData>
  <mergeCells count="2">
    <mergeCell ref="A1:E1"/>
    <mergeCell ref="A3:E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G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 ht="28" customHeight="1">
      <c r="B2" s="22" t="inlineStr">
        <is>
          <t>Sensitivity Analysis, impatto su NPV 10y di variazione +-20% sui driver primari</t>
        </is>
      </c>
    </row>
    <row r="4" ht="22" customHeight="1">
      <c r="B4" s="27" t="inlineStr">
        <is>
          <t>Driver</t>
        </is>
      </c>
      <c r="C4" s="27" t="inlineStr">
        <is>
          <t>Baseline</t>
        </is>
      </c>
      <c r="D4" s="27" t="inlineStr">
        <is>
          <t>Scenario -20%</t>
        </is>
      </c>
      <c r="E4" s="27" t="inlineStr">
        <is>
          <t>Scenario +20%</t>
        </is>
      </c>
      <c r="F4" s="27" t="inlineStr">
        <is>
          <t>Δ NPV -20%</t>
        </is>
      </c>
      <c r="G4" s="27" t="inlineStr">
        <is>
          <t>Δ NPV +20%</t>
        </is>
      </c>
    </row>
    <row r="5" ht="18" customHeight="1">
      <c r="B5" s="23" t="inlineStr">
        <is>
          <t>Revenue Y1 (€k, RECALIBRATED)</t>
        </is>
      </c>
      <c r="C5" s="28" t="n">
        <v>260</v>
      </c>
      <c r="D5" s="28" t="n">
        <v>208</v>
      </c>
      <c r="E5" s="28" t="n">
        <v>312</v>
      </c>
      <c r="F5" s="28" t="n">
        <v>-1.2</v>
      </c>
      <c r="G5" s="28" t="n">
        <v>1.2</v>
      </c>
    </row>
    <row r="6" ht="18" customHeight="1">
      <c r="B6" s="29" t="inlineStr">
        <is>
          <t>Pricing PA (€k/anno baseline)</t>
        </is>
      </c>
      <c r="C6" s="30" t="n">
        <v>75</v>
      </c>
      <c r="D6" s="30" t="n">
        <v>60</v>
      </c>
      <c r="E6" s="30" t="n">
        <v>90</v>
      </c>
      <c r="F6" s="30" t="n">
        <v>-0.9</v>
      </c>
      <c r="G6" s="30" t="n">
        <v>0.9</v>
      </c>
    </row>
    <row r="7" ht="18" customHeight="1">
      <c r="B7" s="23" t="inlineStr">
        <is>
          <t>CapEx Y1 (€k)</t>
        </is>
      </c>
      <c r="C7" s="28" t="n">
        <v>1400</v>
      </c>
      <c r="D7" s="28" t="n">
        <v>1120</v>
      </c>
      <c r="E7" s="28" t="n">
        <v>1680</v>
      </c>
      <c r="F7" s="28" t="n">
        <v>0.5</v>
      </c>
      <c r="G7" s="28" t="n">
        <v>-0.5</v>
      </c>
    </row>
    <row r="8" ht="18" customHeight="1">
      <c r="B8" s="29" t="inlineStr">
        <is>
          <t>OpEx Y2 run-rate (€k/anno)</t>
        </is>
      </c>
      <c r="C8" s="30" t="n">
        <v>1180</v>
      </c>
      <c r="D8" s="30" t="n">
        <v>944</v>
      </c>
      <c r="E8" s="30" t="n">
        <v>1416</v>
      </c>
      <c r="F8" s="30" t="n">
        <v>1.5</v>
      </c>
      <c r="G8" s="30" t="n">
        <v>-1.5</v>
      </c>
    </row>
    <row r="9" ht="18" customHeight="1">
      <c r="B9" s="23" t="inlineStr">
        <is>
          <t>Cooperative engagement (n. su 10)</t>
        </is>
      </c>
      <c r="C9" s="28" t="n">
        <v>8</v>
      </c>
      <c r="D9" s="28" t="n">
        <v>6</v>
      </c>
      <c r="E9" s="28" t="n">
        <v>10</v>
      </c>
      <c r="F9" s="28" t="n">
        <v>-0.4</v>
      </c>
      <c r="G9" s="28" t="n">
        <v>0.3</v>
      </c>
    </row>
    <row r="10" ht="18" customHeight="1">
      <c r="B10" s="29" t="inlineStr">
        <is>
          <t>Mix funding committed (%)</t>
        </is>
      </c>
      <c r="C10" s="30" t="n">
        <v>60</v>
      </c>
      <c r="D10" s="30" t="n">
        <v>40</v>
      </c>
      <c r="E10" s="30" t="n">
        <v>80</v>
      </c>
      <c r="F10" s="30" t="n">
        <v>-0.7</v>
      </c>
      <c r="G10" s="30" t="n">
        <v>0.4</v>
      </c>
    </row>
    <row r="11" ht="18" customHeight="1">
      <c r="B11" s="23" t="inlineStr">
        <is>
          <t>WACC blended (%)</t>
        </is>
      </c>
      <c r="C11" s="28" t="n">
        <v>12</v>
      </c>
      <c r="D11" s="28" t="n">
        <v>14.4</v>
      </c>
      <c r="E11" s="28" t="n">
        <v>9.6</v>
      </c>
      <c r="F11" s="28" t="n">
        <v>-0.6</v>
      </c>
      <c r="G11" s="28" t="n">
        <v>0.7</v>
      </c>
    </row>
    <row r="12" ht="18" customHeight="1">
      <c r="B12" s="29" t="inlineStr">
        <is>
          <t>Break-even year</t>
        </is>
      </c>
      <c r="C12" s="30" t="n">
        <v>5.5</v>
      </c>
      <c r="D12" s="30" t="n">
        <v>6.6</v>
      </c>
      <c r="E12" s="30" t="n">
        <v>4.4</v>
      </c>
      <c r="F12" s="30" t="n">
        <v>-0.8</v>
      </c>
      <c r="G12" s="30" t="n">
        <v>0.6</v>
      </c>
    </row>
    <row r="13" ht="18" customHeight="1">
      <c r="B13" s="23" t="inlineStr">
        <is>
          <t>ARR Y3 scale-up (€M)</t>
        </is>
      </c>
      <c r="C13" s="28" t="n">
        <v>2.5</v>
      </c>
      <c r="D13" s="28" t="n">
        <v>2</v>
      </c>
      <c r="E13" s="28" t="n">
        <v>3</v>
      </c>
      <c r="F13" s="28" t="n">
        <v>-1</v>
      </c>
      <c r="G13" s="28" t="n">
        <v>1</v>
      </c>
    </row>
    <row r="14" ht="18" customHeight="1">
      <c r="B14" s="29" t="inlineStr">
        <is>
          <t>Capital intensity Y10 small fleet (€B)</t>
        </is>
      </c>
      <c r="C14" s="30" t="n">
        <v>1</v>
      </c>
      <c r="D14" s="30" t="n">
        <v>0.8</v>
      </c>
      <c r="E14" s="30" t="n">
        <v>1.5</v>
      </c>
      <c r="F14" s="30" t="n">
        <v>0.3</v>
      </c>
      <c r="G14" s="30" t="n">
        <v>-0.4</v>
      </c>
    </row>
    <row r="16" ht="36" customHeight="1">
      <c r="B16" s="31" t="inlineStr">
        <is>
          <t>Note: Δ NPV espresso in €M, NPV scenario base = +€3.5M (Cap. 8 §8.6.1). Driver Revenue Y1 e OpEx Y2 sono i piu sensibili. Sensitivity OpEx riflette inclusione regulatory team mandatory.</t>
        </is>
      </c>
    </row>
  </sheetData>
  <mergeCells count="2">
    <mergeCell ref="B2:G2"/>
    <mergeCell ref="B16:G1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F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2" ht="28" customHeight="1">
      <c r="B2" s="22" t="inlineStr">
        <is>
          <t>Scenarios Worst / Base / Best, modello finanziario MVP Y1-Y5 RECALIBRATED post Cluster D</t>
        </is>
      </c>
    </row>
    <row r="4" ht="30" customHeight="1">
      <c r="B4" s="27" t="inlineStr">
        <is>
          <t>Metrica</t>
        </is>
      </c>
      <c r="C4" s="27" t="inlineStr">
        <is>
          <t>Worst (P10)</t>
        </is>
      </c>
      <c r="D4" s="27" t="inlineStr">
        <is>
          <t>Base (P50) RECALIBRATED</t>
        </is>
      </c>
      <c r="E4" s="27" t="inlineStr">
        <is>
          <t>Best (P90)</t>
        </is>
      </c>
      <c r="F4" s="27" t="inlineStr">
        <is>
          <t>Note</t>
        </is>
      </c>
    </row>
    <row r="5" ht="20" customHeight="1">
      <c r="B5" s="23" t="inlineStr">
        <is>
          <t>Revenue Y1 (€k)</t>
        </is>
      </c>
      <c r="C5" s="28" t="inlineStr">
        <is>
          <t>130</t>
        </is>
      </c>
      <c r="D5" s="28" t="inlineStr">
        <is>
          <t>260</t>
        </is>
      </c>
      <c r="E5" s="28" t="inlineStr">
        <is>
          <t>380</t>
        </is>
      </c>
      <c r="F5" s="28" t="inlineStr">
        <is>
          <t>Post recal Cluster D</t>
        </is>
      </c>
    </row>
    <row r="6" ht="20" customHeight="1">
      <c r="B6" s="29" t="inlineStr">
        <is>
          <t>Revenue Y3 (€M)</t>
        </is>
      </c>
      <c r="C6" s="30" t="inlineStr">
        <is>
          <t>0.8</t>
        </is>
      </c>
      <c r="D6" s="30" t="inlineStr">
        <is>
          <t>2.0</t>
        </is>
      </c>
      <c r="E6" s="30" t="inlineStr">
        <is>
          <t>3.5</t>
        </is>
      </c>
      <c r="F6" s="30" t="inlineStr">
        <is>
          <t>Scale-up SNAI</t>
        </is>
      </c>
    </row>
    <row r="7" ht="20" customHeight="1">
      <c r="B7" s="23" t="inlineStr">
        <is>
          <t>Revenue Y5 (€M)</t>
        </is>
      </c>
      <c r="C7" s="28" t="inlineStr">
        <is>
          <t>2.0</t>
        </is>
      </c>
      <c r="D7" s="28" t="inlineStr">
        <is>
          <t>5.0</t>
        </is>
      </c>
      <c r="E7" s="28" t="inlineStr">
        <is>
          <t>12.0</t>
        </is>
      </c>
      <c r="F7" s="28" t="inlineStr">
        <is>
          <t>Multi-regione + HAPS subscale</t>
        </is>
      </c>
    </row>
    <row r="8" ht="20" customHeight="1">
      <c r="B8" s="29" t="inlineStr">
        <is>
          <t>CapEx Y1 (€k)</t>
        </is>
      </c>
      <c r="C8" s="32" t="inlineStr">
        <is>
          <t>1960</t>
        </is>
      </c>
      <c r="D8" s="30" t="inlineStr">
        <is>
          <t>1400</t>
        </is>
      </c>
      <c r="E8" s="30" t="inlineStr">
        <is>
          <t>970</t>
        </is>
      </c>
      <c r="F8" s="30" t="inlineStr">
        <is>
          <t>Overrun aerospace + contingency</t>
        </is>
      </c>
    </row>
    <row r="9" ht="20" customHeight="1">
      <c r="B9" s="23" t="inlineStr">
        <is>
          <t>OpEx Y2 baseline (€k)</t>
        </is>
      </c>
      <c r="C9" s="28" t="inlineStr">
        <is>
          <t>480</t>
        </is>
      </c>
      <c r="D9" s="28" t="inlineStr">
        <is>
          <t>370</t>
        </is>
      </c>
      <c r="E9" s="28" t="inlineStr">
        <is>
          <t>280</t>
        </is>
      </c>
      <c r="F9" s="28" t="inlineStr">
        <is>
          <t>Tecnico-only</t>
        </is>
      </c>
    </row>
    <row r="10" ht="20" customHeight="1">
      <c r="B10" s="29" t="inlineStr">
        <is>
          <t>OpEx Y2 RECONCILED (+3 FTE reg.) (€k)</t>
        </is>
      </c>
      <c r="C10" s="32" t="inlineStr">
        <is>
          <t>1300</t>
        </is>
      </c>
      <c r="D10" s="30" t="inlineStr">
        <is>
          <t>1180</t>
        </is>
      </c>
      <c r="E10" s="30" t="inlineStr">
        <is>
          <t>1050</t>
        </is>
      </c>
      <c r="F10" s="30" t="inlineStr">
        <is>
          <t>Cap. 5 §5.17 mandatory</t>
        </is>
      </c>
    </row>
    <row r="11" ht="20" customHeight="1">
      <c r="B11" s="23" t="inlineStr">
        <is>
          <t>Break-even cumulato</t>
        </is>
      </c>
      <c r="C11" s="32" t="inlineStr">
        <is>
          <t>Y7+</t>
        </is>
      </c>
      <c r="D11" s="28" t="inlineStr">
        <is>
          <t>Y5-Y6</t>
        </is>
      </c>
      <c r="E11" s="33" t="inlineStr">
        <is>
          <t>Y4</t>
        </is>
      </c>
      <c r="F11" s="28" t="inlineStr">
        <is>
          <t>Post recal</t>
        </is>
      </c>
    </row>
    <row r="12" ht="20" customHeight="1">
      <c r="B12" s="29" t="inlineStr">
        <is>
          <t>NPV 10y (WACC 12%) (€M)</t>
        </is>
      </c>
      <c r="C12" s="32" t="inlineStr">
        <is>
          <t>-2.0</t>
        </is>
      </c>
      <c r="D12" s="30" t="inlineStr">
        <is>
          <t>+3.5</t>
        </is>
      </c>
      <c r="E12" s="33" t="inlineStr">
        <is>
          <t>+22.5</t>
        </is>
      </c>
      <c r="F12" s="30" t="inlineStr">
        <is>
          <t>Sensitivity ampia</t>
        </is>
      </c>
    </row>
    <row r="13" ht="20" customHeight="1">
      <c r="B13" s="23" t="inlineStr">
        <is>
          <t>IRR 10y (%)</t>
        </is>
      </c>
      <c r="C13" s="32" t="inlineStr">
        <is>
          <t>&lt;5</t>
        </is>
      </c>
      <c r="D13" s="28" t="inlineStr">
        <is>
          <t>12-18</t>
        </is>
      </c>
      <c r="E13" s="33" t="inlineStr">
        <is>
          <t>28-40</t>
        </is>
      </c>
      <c r="F13" s="28" t="inlineStr">
        <is>
          <t>Post recal</t>
        </is>
      </c>
    </row>
    <row r="14" ht="20" customHeight="1">
      <c r="B14" s="29" t="inlineStr">
        <is>
          <t>Payback (anni)</t>
        </is>
      </c>
      <c r="C14" s="32" t="inlineStr">
        <is>
          <t>8-10</t>
        </is>
      </c>
      <c r="D14" s="30" t="inlineStr">
        <is>
          <t>6</t>
        </is>
      </c>
      <c r="E14" s="30" t="inlineStr">
        <is>
          <t>3.5</t>
        </is>
      </c>
      <c r="F14" s="30" t="inlineStr">
        <is>
          <t>Post recal</t>
        </is>
      </c>
    </row>
    <row r="15" ht="20" customHeight="1">
      <c r="B15" s="23" t="inlineStr">
        <is>
          <t>P scenario (probabilita)</t>
        </is>
      </c>
      <c r="C15" s="28" t="inlineStr">
        <is>
          <t>20%</t>
        </is>
      </c>
      <c r="D15" s="28" t="inlineStr">
        <is>
          <t>55-60%</t>
        </is>
      </c>
      <c r="E15" s="28" t="inlineStr">
        <is>
          <t>20-25%</t>
        </is>
      </c>
      <c r="F15" s="28" t="inlineStr">
        <is>
          <t>Stima qualitativa</t>
        </is>
      </c>
    </row>
    <row r="17" ht="50" customHeight="1">
      <c r="B17" s="34" t="inlineStr">
        <is>
          <t>Verdetto consolidato: scenario base (P 55-60%) prevede HOLD CON PIANO REGOLATORIO RAFFORZATO + GO CONDIZIONATO (P 5-15%) al verificarsi simultaneo delle 5 hard conditions C1-C5. Le 3 FTE regulatory team (CISO + DPO + Head Regulatory) post Cap. 5 §5.17 sono fixed cost obbligatorio nello scenario operativo.</t>
        </is>
      </c>
    </row>
  </sheetData>
  <mergeCells count="2">
    <mergeCell ref="B2:F2"/>
    <mergeCell ref="B17:F1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J4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2" ht="28" customHeight="1">
      <c r="B2" s="22" t="inlineStr">
        <is>
          <t>Monte Carlo proxy, 10.000 simulazioni NPV 10y (WACC 12%)</t>
        </is>
      </c>
    </row>
    <row r="4" ht="22" customHeight="1">
      <c r="B4" s="27" t="inlineStr">
        <is>
          <t>Statistica</t>
        </is>
      </c>
      <c r="C4" s="27" t="inlineStr">
        <is>
          <t>Valore (€M)</t>
        </is>
      </c>
    </row>
    <row r="5" ht="18" customHeight="1">
      <c r="B5" s="23" t="inlineStr">
        <is>
          <t>Mean</t>
        </is>
      </c>
      <c r="C5" s="28" t="inlineStr">
        <is>
          <t>-1.16</t>
        </is>
      </c>
    </row>
    <row r="6" ht="18" customHeight="1">
      <c r="B6" s="29" t="inlineStr">
        <is>
          <t>Median</t>
        </is>
      </c>
      <c r="C6" s="30" t="inlineStr">
        <is>
          <t>-2.21</t>
        </is>
      </c>
    </row>
    <row r="7" ht="18" customHeight="1">
      <c r="B7" s="23" t="inlineStr">
        <is>
          <t>Std deviation</t>
        </is>
      </c>
      <c r="C7" s="28" t="inlineStr">
        <is>
          <t>5.71</t>
        </is>
      </c>
    </row>
    <row r="8" ht="18" customHeight="1">
      <c r="B8" s="29" t="inlineStr">
        <is>
          <t>P10 (worst decile)</t>
        </is>
      </c>
      <c r="C8" s="30" t="inlineStr">
        <is>
          <t>-7.21</t>
        </is>
      </c>
    </row>
    <row r="9" ht="18" customHeight="1">
      <c r="B9" s="23" t="inlineStr">
        <is>
          <t>P25</t>
        </is>
      </c>
      <c r="C9" s="28" t="inlineStr">
        <is>
          <t>-5.10</t>
        </is>
      </c>
    </row>
    <row r="10" ht="18" customHeight="1">
      <c r="B10" s="29" t="inlineStr">
        <is>
          <t>P75</t>
        </is>
      </c>
      <c r="C10" s="30" t="inlineStr">
        <is>
          <t>+1.60</t>
        </is>
      </c>
    </row>
    <row r="11" ht="18" customHeight="1">
      <c r="B11" s="23" t="inlineStr">
        <is>
          <t>P90 (best decile)</t>
        </is>
      </c>
      <c r="C11" s="28" t="inlineStr">
        <is>
          <t>+6.10</t>
        </is>
      </c>
    </row>
    <row r="12" ht="18" customHeight="1">
      <c r="B12" s="29" t="inlineStr">
        <is>
          <t>Min</t>
        </is>
      </c>
      <c r="C12" s="30" t="inlineStr">
        <is>
          <t>-14.11</t>
        </is>
      </c>
    </row>
    <row r="13" ht="18" customHeight="1">
      <c r="B13" s="23" t="inlineStr">
        <is>
          <t>Max</t>
        </is>
      </c>
      <c r="C13" s="28" t="inlineStr">
        <is>
          <t>+47.85</t>
        </is>
      </c>
    </row>
    <row r="14" ht="18" customHeight="1">
      <c r="B14" s="29" t="inlineStr">
        <is>
          <t>% sim NPV &lt; 0</t>
        </is>
      </c>
      <c r="C14" s="30" t="inlineStr">
        <is>
          <t>65.9%</t>
        </is>
      </c>
    </row>
    <row r="15" ht="18" customHeight="1">
      <c r="B15" s="23" t="inlineStr">
        <is>
          <t>% sim NPV &gt; +€10M</t>
        </is>
      </c>
      <c r="C15" s="28" t="inlineStr">
        <is>
          <t>4.4%</t>
        </is>
      </c>
    </row>
    <row r="18" ht="22" customHeight="1">
      <c r="B18" s="22" t="inlineStr">
        <is>
          <t>Distribuzione NPV (istogramma bins €1M)</t>
        </is>
      </c>
    </row>
    <row r="19" ht="22" customHeight="1">
      <c r="B19" s="27" t="inlineStr">
        <is>
          <t>Bin (€M)</t>
        </is>
      </c>
      <c r="C19" s="27" t="inlineStr">
        <is>
          <t>Count</t>
        </is>
      </c>
      <c r="D19" s="27" t="inlineStr">
        <is>
          <t>%</t>
        </is>
      </c>
    </row>
    <row r="20" ht="16" customHeight="1">
      <c r="B20" s="30" t="inlineStr">
        <is>
          <t>-10 to -8</t>
        </is>
      </c>
      <c r="C20" s="30" t="n">
        <v>604</v>
      </c>
      <c r="D20" s="30" t="inlineStr">
        <is>
          <t>6.0%</t>
        </is>
      </c>
    </row>
    <row r="21" ht="16" customHeight="1">
      <c r="B21" s="28" t="inlineStr">
        <is>
          <t>-8 to -6</t>
        </is>
      </c>
      <c r="C21" s="28" t="n">
        <v>1168</v>
      </c>
      <c r="D21" s="28" t="inlineStr">
        <is>
          <t>11.7%</t>
        </is>
      </c>
    </row>
    <row r="22" ht="16" customHeight="1">
      <c r="B22" s="30" t="inlineStr">
        <is>
          <t>-6 to -4</t>
        </is>
      </c>
      <c r="C22" s="30" t="n">
        <v>1716</v>
      </c>
      <c r="D22" s="30" t="inlineStr">
        <is>
          <t>17.2%</t>
        </is>
      </c>
    </row>
    <row r="23" ht="16" customHeight="1">
      <c r="B23" s="28" t="inlineStr">
        <is>
          <t>-4 to -2</t>
        </is>
      </c>
      <c r="C23" s="28" t="n">
        <v>1677</v>
      </c>
      <c r="D23" s="28" t="inlineStr">
        <is>
          <t>16.8%</t>
        </is>
      </c>
    </row>
    <row r="24" ht="16" customHeight="1">
      <c r="B24" s="30" t="inlineStr">
        <is>
          <t>-2 to 0</t>
        </is>
      </c>
      <c r="C24" s="30" t="n">
        <v>1428</v>
      </c>
      <c r="D24" s="30" t="inlineStr">
        <is>
          <t>14.3%</t>
        </is>
      </c>
    </row>
    <row r="25" ht="16" customHeight="1">
      <c r="B25" s="28" t="inlineStr">
        <is>
          <t>0 to 2</t>
        </is>
      </c>
      <c r="C25" s="28" t="n">
        <v>1109</v>
      </c>
      <c r="D25" s="28" t="inlineStr">
        <is>
          <t>11.1%</t>
        </is>
      </c>
    </row>
    <row r="26" ht="16" customHeight="1">
      <c r="B26" s="30" t="inlineStr">
        <is>
          <t>2 to 4</t>
        </is>
      </c>
      <c r="C26" s="30" t="n">
        <v>771</v>
      </c>
      <c r="D26" s="30" t="inlineStr">
        <is>
          <t>7.7%</t>
        </is>
      </c>
    </row>
    <row r="27" ht="16" customHeight="1">
      <c r="B27" s="28" t="inlineStr">
        <is>
          <t>4 to 6</t>
        </is>
      </c>
      <c r="C27" s="28" t="n">
        <v>502</v>
      </c>
      <c r="D27" s="28" t="inlineStr">
        <is>
          <t>5.0%</t>
        </is>
      </c>
    </row>
    <row r="28" ht="16" customHeight="1">
      <c r="B28" s="30" t="inlineStr">
        <is>
          <t>6 to 8</t>
        </is>
      </c>
      <c r="C28" s="30" t="n">
        <v>343</v>
      </c>
      <c r="D28" s="30" t="inlineStr">
        <is>
          <t>3.4%</t>
        </is>
      </c>
    </row>
    <row r="29" ht="16" customHeight="1">
      <c r="B29" s="28" t="inlineStr">
        <is>
          <t>8 to 10</t>
        </is>
      </c>
      <c r="C29" s="28" t="n">
        <v>238</v>
      </c>
      <c r="D29" s="28" t="inlineStr">
        <is>
          <t>2.4%</t>
        </is>
      </c>
    </row>
    <row r="30" ht="16" customHeight="1">
      <c r="B30" s="30" t="inlineStr">
        <is>
          <t>10 to 12</t>
        </is>
      </c>
      <c r="C30" s="30" t="n">
        <v>136</v>
      </c>
      <c r="D30" s="30" t="inlineStr">
        <is>
          <t>1.4%</t>
        </is>
      </c>
    </row>
    <row r="31" ht="16" customHeight="1">
      <c r="B31" s="28" t="inlineStr">
        <is>
          <t>12 to 14</t>
        </is>
      </c>
      <c r="C31" s="28" t="n">
        <v>99</v>
      </c>
      <c r="D31" s="28" t="inlineStr">
        <is>
          <t>1.0%</t>
        </is>
      </c>
    </row>
    <row r="32" ht="16" customHeight="1">
      <c r="B32" s="30" t="inlineStr">
        <is>
          <t>14 to 16</t>
        </is>
      </c>
      <c r="C32" s="30" t="n">
        <v>70</v>
      </c>
      <c r="D32" s="30" t="inlineStr">
        <is>
          <t>0.7%</t>
        </is>
      </c>
    </row>
    <row r="33" ht="16" customHeight="1">
      <c r="B33" s="28" t="inlineStr">
        <is>
          <t>16 to 18</t>
        </is>
      </c>
      <c r="C33" s="28" t="n">
        <v>50</v>
      </c>
      <c r="D33" s="28" t="inlineStr">
        <is>
          <t>0.5%</t>
        </is>
      </c>
    </row>
    <row r="34" ht="16" customHeight="1">
      <c r="B34" s="30" t="inlineStr">
        <is>
          <t>18 to 20</t>
        </is>
      </c>
      <c r="C34" s="30" t="n">
        <v>23</v>
      </c>
      <c r="D34" s="30" t="inlineStr">
        <is>
          <t>0.2%</t>
        </is>
      </c>
    </row>
    <row r="35" ht="16" customHeight="1">
      <c r="B35" s="28" t="inlineStr">
        <is>
          <t>20 to 22</t>
        </is>
      </c>
      <c r="C35" s="28" t="n">
        <v>28</v>
      </c>
      <c r="D35" s="28" t="inlineStr">
        <is>
          <t>0.3%</t>
        </is>
      </c>
    </row>
    <row r="36" ht="16" customHeight="1">
      <c r="B36" s="30" t="inlineStr">
        <is>
          <t>22 to 24</t>
        </is>
      </c>
      <c r="C36" s="30" t="n">
        <v>13</v>
      </c>
      <c r="D36" s="30" t="inlineStr">
        <is>
          <t>0.1%</t>
        </is>
      </c>
    </row>
    <row r="37" ht="16" customHeight="1">
      <c r="B37" s="28" t="inlineStr">
        <is>
          <t>24 to 26</t>
        </is>
      </c>
      <c r="C37" s="28" t="n">
        <v>9</v>
      </c>
      <c r="D37" s="28" t="inlineStr">
        <is>
          <t>0.1%</t>
        </is>
      </c>
    </row>
    <row r="38" ht="16" customHeight="1">
      <c r="B38" s="30" t="inlineStr">
        <is>
          <t>26 to 28</t>
        </is>
      </c>
      <c r="C38" s="30" t="n">
        <v>2</v>
      </c>
      <c r="D38" s="30" t="inlineStr">
        <is>
          <t>0.0%</t>
        </is>
      </c>
    </row>
    <row r="39" ht="16" customHeight="1">
      <c r="B39" s="28" t="inlineStr">
        <is>
          <t>28 to 30</t>
        </is>
      </c>
      <c r="C39" s="28" t="n">
        <v>14</v>
      </c>
      <c r="D39" s="28" t="inlineStr">
        <is>
          <t>0.1%</t>
        </is>
      </c>
    </row>
    <row r="41" ht="60" customHeight="1">
      <c r="B41" s="34" t="inlineStr">
        <is>
          <t>CAVEAT: Monte Carlo proxy basato su assunzioni gaussiane (Revenue, CapEx, OpEx) + log-normale (Scale Y3). Modello SEMPLIFICATO per validazione preliminare. NON sostituisce validazione esterna RINA/DNV con DCF dettagliato + correlation matrix risk drivers. Confidence aggregato: LOW (Regola 7 epistemic-rigor, base-rate aerospace cost overrun 30-150% GAO 2020).</t>
        </is>
      </c>
    </row>
  </sheetData>
  <mergeCells count="3">
    <mergeCell ref="B18:J18"/>
    <mergeCell ref="B41:J41"/>
    <mergeCell ref="B2:J2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G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2" ht="28" customHeight="1">
      <c r="B2" s="22" t="inlineStr">
        <is>
          <t>Mix finanziamento raccomandato Y1 Percorso 6A (€0.75-1.75M target)</t>
        </is>
      </c>
    </row>
    <row r="4" ht="26" customHeight="1">
      <c r="B4" s="27" t="inlineStr">
        <is>
          <t>Fonte</t>
        </is>
      </c>
      <c r="C4" s="27" t="inlineStr">
        <is>
          <t>Target €k</t>
        </is>
      </c>
      <c r="D4" s="27" t="inlineStr">
        <is>
          <t>%</t>
        </is>
      </c>
      <c r="E4" s="27" t="inlineStr">
        <is>
          <t>Status M+3</t>
        </is>
      </c>
      <c r="F4" s="27" t="inlineStr">
        <is>
          <t>Owner action</t>
        </is>
      </c>
      <c r="G4" s="27" t="inlineStr">
        <is>
          <t>Deadline</t>
        </is>
      </c>
    </row>
    <row r="5" ht="22" customHeight="1">
      <c r="B5" s="23" t="inlineStr">
        <is>
          <t>Coopfond Cooding Prototypes 2026</t>
        </is>
      </c>
      <c r="C5" s="28" t="inlineStr">
        <is>
          <t>50</t>
        </is>
      </c>
      <c r="D5" s="28" t="inlineStr">
        <is>
          <t>5%</t>
        </is>
      </c>
      <c r="E5" s="35" t="inlineStr">
        <is>
          <t>DR-002 pending</t>
        </is>
      </c>
      <c r="F5" s="35" t="inlineStr">
        <is>
          <t>financial-cfo + snai</t>
        </is>
      </c>
      <c r="G5" s="28" t="inlineStr">
        <is>
          <t>M+3</t>
        </is>
      </c>
    </row>
    <row r="6" ht="22" customHeight="1">
      <c r="B6" s="29" t="inlineStr">
        <is>
          <t>Coopfond Cooding-Invest</t>
        </is>
      </c>
      <c r="C6" s="30" t="inlineStr">
        <is>
          <t>150-300</t>
        </is>
      </c>
      <c r="D6" s="30" t="inlineStr">
        <is>
          <t>15-20%</t>
        </is>
      </c>
      <c r="E6" s="24" t="inlineStr">
        <is>
          <t>Q2 2026</t>
        </is>
      </c>
      <c r="F6" s="24" t="inlineStr">
        <is>
          <t>business-model + Coopfond</t>
        </is>
      </c>
      <c r="G6" s="30" t="inlineStr">
        <is>
          <t>M+6</t>
        </is>
      </c>
    </row>
    <row r="7" ht="22" customHeight="1">
      <c r="B7" s="23" t="inlineStr">
        <is>
          <t>Regione Liguria FESR 2021-2027</t>
        </is>
      </c>
      <c r="C7" s="28" t="inlineStr">
        <is>
          <t>300-500</t>
        </is>
      </c>
      <c r="D7" s="28" t="inlineStr">
        <is>
          <t>25-40%</t>
        </is>
      </c>
      <c r="E7" s="35" t="inlineStr">
        <is>
          <t>OQ-010 LoI</t>
        </is>
      </c>
      <c r="F7" s="35" t="inlineStr">
        <is>
          <t>snai + Regione</t>
        </is>
      </c>
      <c r="G7" s="28" t="inlineStr">
        <is>
          <t>M+9</t>
        </is>
      </c>
    </row>
    <row r="8" ht="22" customHeight="1">
      <c r="B8" s="29" t="inlineStr">
        <is>
          <t>PNRR Aerospazio / IS4Aerospace</t>
        </is>
      </c>
      <c r="C8" s="30" t="inlineStr">
        <is>
          <t>0-300</t>
        </is>
      </c>
      <c r="D8" s="30" t="inlineStr">
        <is>
          <t>0-20%</t>
        </is>
      </c>
      <c r="E8" s="24" t="inlineStr">
        <is>
          <t>Partnership Polito</t>
        </is>
      </c>
      <c r="F8" s="24" t="inlineStr">
        <is>
          <t>aerospace-SE + MIMIT</t>
        </is>
      </c>
      <c r="G8" s="30" t="inlineStr">
        <is>
          <t>M+9</t>
        </is>
      </c>
    </row>
    <row r="9" ht="22" customHeight="1">
      <c r="B9" s="23" t="inlineStr">
        <is>
          <t>Equity privato (founder + seed)</t>
        </is>
      </c>
      <c r="C9" s="28" t="inlineStr">
        <is>
          <t>200-500</t>
        </is>
      </c>
      <c r="D9" s="28" t="inlineStr">
        <is>
          <t>15-35%</t>
        </is>
      </c>
      <c r="E9" s="35" t="inlineStr">
        <is>
          <t>Round seed Q1 2026</t>
        </is>
      </c>
      <c r="F9" s="35" t="inlineStr">
        <is>
          <t>CEO + CFO</t>
        </is>
      </c>
      <c r="G9" s="28" t="inlineStr">
        <is>
          <t>M+6</t>
        </is>
      </c>
    </row>
    <row r="10" ht="22" customHeight="1">
      <c r="B10" s="29" t="inlineStr">
        <is>
          <t>R&amp;D tax credit (L. 160/2019)</t>
        </is>
      </c>
      <c r="C10" s="30" t="inlineStr">
        <is>
          <t>50-150</t>
        </is>
      </c>
      <c r="D10" s="30" t="inlineStr">
        <is>
          <t>5-15%</t>
        </is>
      </c>
      <c r="E10" s="24" t="inlineStr">
        <is>
          <t>Cumulabile post-spesa</t>
        </is>
      </c>
      <c r="F10" s="24" t="inlineStr">
        <is>
          <t>CFO</t>
        </is>
      </c>
      <c r="G10" s="30" t="inlineStr">
        <is>
          <t>Y1 ex-post</t>
        </is>
      </c>
    </row>
    <row r="11" ht="22" customHeight="1">
      <c r="B11" s="36" t="inlineStr">
        <is>
          <t>TOTALE Y1</t>
        </is>
      </c>
      <c r="C11" s="37" t="inlineStr">
        <is>
          <t>750-1750</t>
        </is>
      </c>
      <c r="D11" s="37" t="inlineStr">
        <is>
          <t>100%</t>
        </is>
      </c>
      <c r="E11" s="37" t="inlineStr">
        <is>
          <t>Mix da consolidare</t>
        </is>
      </c>
      <c r="F11" s="37" t="inlineStr">
        <is>
          <t>CFO</t>
        </is>
      </c>
      <c r="G11" s="37" t="inlineStr">
        <is>
          <t>M+10 (60% committed)</t>
        </is>
      </c>
    </row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2026-05-17T00:23:15Z</dcterms:created>
  <dcterms:modified xmlns:dcterms="http://purl.org/dc/terms/" xmlns:xsi="http://www.w3.org/2001/XMLSchema-instance" xsi:type="dcterms:W3CDTF">2026-05-17T13:56:29Z</dcterms:modified>
</cp:coreProperties>
</file>